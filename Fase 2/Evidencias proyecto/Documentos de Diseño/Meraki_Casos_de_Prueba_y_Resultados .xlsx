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Casos de prueba" sheetId="2" r:id="rId5"/>
    <sheet state="visible" name="Trazabilidad RF" sheetId="3" r:id="rId6"/>
    <sheet state="visible" name="Resultados" sheetId="4" r:id="rId7"/>
    <sheet state="visible" name="Incidencias y correcciones" sheetId="5" r:id="rId8"/>
    <sheet state="visible" name="Resumen" sheetId="6" r:id="rId9"/>
  </sheets>
  <definedNames/>
  <calcPr/>
  <extLst>
    <ext uri="GoogleSheetsCustomDataVersion2">
      <go:sheetsCustomData xmlns:go="http://customooxmlschemas.google.com/" r:id="rId10" roundtripDataChecksum="2dqKyyM9qs2SjfseVdYXqxqmYQkN2nYXpCnB5mIkrNc="/>
    </ext>
  </extLst>
</workbook>
</file>

<file path=xl/sharedStrings.xml><?xml version="1.0" encoding="utf-8"?>
<sst xmlns="http://schemas.openxmlformats.org/spreadsheetml/2006/main" count="730" uniqueCount="300">
  <si>
    <t>ARCHIVO DE PRUEBAS — MERAKI</t>
  </si>
  <si>
    <t>ID</t>
  </si>
  <si>
    <t>Este libro complementa el Plan de Pruebas (Word) y la Fase 2 del proyecto.</t>
  </si>
  <si>
    <t>Casos de prueba: un caso principal por cada RF-01 a RF-31.; además, pruebas complementarias.</t>
  </si>
  <si>
    <t>Trazabilidad RF: permite localizar la prueba principal y las adicionales por requerimiento.</t>
  </si>
  <si>
    <t>Registrar en la misma fila el resultado real, fecha, responsable, evidencia y observaciones.</t>
  </si>
  <si>
    <t>Estados: Pendiente (no ejecutado), Aprobado, Fallido o Bloqueado.</t>
  </si>
  <si>
    <t>Los pagos, correos y suscripciones deben probarse conforme estén implementados; no registrar resultados ficticios.</t>
  </si>
  <si>
    <t>Estado</t>
  </si>
  <si>
    <t>Los casos de HU y RNF se mantienen porque están contemplados en la documentación del proyecto.</t>
  </si>
  <si>
    <t>Las precondiciones son generales: adaptar los pasos a la interfaz y tecnología realmente implementadas.</t>
  </si>
  <si>
    <t>Fecha</t>
  </si>
  <si>
    <t>Resultado observado / incidencia</t>
  </si>
  <si>
    <t>Evidencia</t>
  </si>
  <si>
    <t>CP-01</t>
  </si>
  <si>
    <t>Pendiente</t>
  </si>
  <si>
    <t>Por completar</t>
  </si>
  <si>
    <t>CP-02</t>
  </si>
  <si>
    <t>CP-03</t>
  </si>
  <si>
    <t>CP-04</t>
  </si>
  <si>
    <t>CP-05</t>
  </si>
  <si>
    <t>CP-06</t>
  </si>
  <si>
    <t>CP-07</t>
  </si>
  <si>
    <t>CP-08</t>
  </si>
  <si>
    <t>CP-09</t>
  </si>
  <si>
    <t>CP-10</t>
  </si>
  <si>
    <t>CP-11</t>
  </si>
  <si>
    <t>Requerimiento funcional</t>
  </si>
  <si>
    <t>ID caso</t>
  </si>
  <si>
    <t>CP-12</t>
  </si>
  <si>
    <t>CP-13</t>
  </si>
  <si>
    <t>CP-14</t>
  </si>
  <si>
    <t>CP-15</t>
  </si>
  <si>
    <t>CP-16</t>
  </si>
  <si>
    <t>CP-17</t>
  </si>
  <si>
    <t>Caso principal</t>
  </si>
  <si>
    <t>Referencia</t>
  </si>
  <si>
    <t>CP-18</t>
  </si>
  <si>
    <t>CP-19</t>
  </si>
  <si>
    <t>Pruebas adicionales relacionadas</t>
  </si>
  <si>
    <t>Módulo</t>
  </si>
  <si>
    <t>CP-20</t>
  </si>
  <si>
    <t>Prueba</t>
  </si>
  <si>
    <t>CP-21</t>
  </si>
  <si>
    <t>CP-22</t>
  </si>
  <si>
    <t>Prioridad</t>
  </si>
  <si>
    <t>CP-23</t>
  </si>
  <si>
    <t>Precondiciones</t>
  </si>
  <si>
    <t>—</t>
  </si>
  <si>
    <t>Pasos / datos de prueba</t>
  </si>
  <si>
    <t>RF-02</t>
  </si>
  <si>
    <t>CP-24</t>
  </si>
  <si>
    <t>Resultado esperado</t>
  </si>
  <si>
    <t>CP-25</t>
  </si>
  <si>
    <t>CP-26</t>
  </si>
  <si>
    <t>RF-03</t>
  </si>
  <si>
    <t>CP-27</t>
  </si>
  <si>
    <t>Resultado real</t>
  </si>
  <si>
    <t>CP-28</t>
  </si>
  <si>
    <t>CP-29</t>
  </si>
  <si>
    <t>RF-04</t>
  </si>
  <si>
    <t>CP-30</t>
  </si>
  <si>
    <t>Responsable</t>
  </si>
  <si>
    <t>CP-31</t>
  </si>
  <si>
    <t>CP-32</t>
  </si>
  <si>
    <t>RF-05</t>
  </si>
  <si>
    <t>Observaciones</t>
  </si>
  <si>
    <t>CP-33</t>
  </si>
  <si>
    <t>CP-34</t>
  </si>
  <si>
    <t>CP-35</t>
  </si>
  <si>
    <t>RF-06</t>
  </si>
  <si>
    <t>ID incidencia</t>
  </si>
  <si>
    <t>RF-01</t>
  </si>
  <si>
    <t>CP-36</t>
  </si>
  <si>
    <t>Front Office</t>
  </si>
  <si>
    <t>CP-37</t>
  </si>
  <si>
    <t>CP-33, CP-42</t>
  </si>
  <si>
    <t>CP-38</t>
  </si>
  <si>
    <t>Caso asociado</t>
  </si>
  <si>
    <t>Acceso sin cuenta</t>
  </si>
  <si>
    <t>CP-39</t>
  </si>
  <si>
    <t>RF-07</t>
  </si>
  <si>
    <t>Alta</t>
  </si>
  <si>
    <t>Fecha detectada</t>
  </si>
  <si>
    <t>CP-40</t>
  </si>
  <si>
    <t>Módulo implementado, datos de prueba disponibles y servicios necesarios funcionando.</t>
  </si>
  <si>
    <t>CP-41</t>
  </si>
  <si>
    <t>Error detectado</t>
  </si>
  <si>
    <t>Abrir la página web sin iniciar sesión.</t>
  </si>
  <si>
    <t>CP-42</t>
  </si>
  <si>
    <t>RF-08</t>
  </si>
  <si>
    <t>La clienta puede ingresar y consultar los servicios sin registrarse.</t>
  </si>
  <si>
    <t>Corrección realizada</t>
  </si>
  <si>
    <t>CP-27, CP-33</t>
  </si>
  <si>
    <t>RF-09</t>
  </si>
  <si>
    <t>Fecha corrección</t>
  </si>
  <si>
    <t>Nueva prueba realizada</t>
  </si>
  <si>
    <t>RF-10</t>
  </si>
  <si>
    <t>Resultado</t>
  </si>
  <si>
    <t>Ubicación</t>
  </si>
  <si>
    <t>RF-11</t>
  </si>
  <si>
    <t>Búsqueda por ubicación o zona</t>
  </si>
  <si>
    <t>Autorizar la ubicación y repetir indicando una comuna manualmente.</t>
  </si>
  <si>
    <t>RF-12</t>
  </si>
  <si>
    <t>Se muestran servicios cercanos o de la zona seleccionada.</t>
  </si>
  <si>
    <t>RF-13</t>
  </si>
  <si>
    <t>RF-14</t>
  </si>
  <si>
    <t>RF-15</t>
  </si>
  <si>
    <t>Búsqueda</t>
  </si>
  <si>
    <t>Buscar por categoría o nombre</t>
  </si>
  <si>
    <t>RF-16</t>
  </si>
  <si>
    <t>Buscar una categoría y luego escribir el nombre de un servicio.</t>
  </si>
  <si>
    <t>La página muestra los servicios que coinciden con la búsqueda.</t>
  </si>
  <si>
    <t>RF-17</t>
  </si>
  <si>
    <t>RF-18</t>
  </si>
  <si>
    <t>RF-19</t>
  </si>
  <si>
    <t>Mostrar resultados relevantes</t>
  </si>
  <si>
    <t>RF-20</t>
  </si>
  <si>
    <t>Buscar servicios en una zona que tenga emprendimientos registrados.</t>
  </si>
  <si>
    <t>Se muestran emprendimientos y servicios que corresponden a la búsqueda y ubicación.</t>
  </si>
  <si>
    <t>RF-21</t>
  </si>
  <si>
    <t>RF-22</t>
  </si>
  <si>
    <t>Catálogo</t>
  </si>
  <si>
    <t>Consultar información de servicios</t>
  </si>
  <si>
    <t>Abrir el detalle de un emprendimiento y de un servicio publicado.</t>
  </si>
  <si>
    <t>RF-23</t>
  </si>
  <si>
    <t>Se muestran los datos del emprendimiento, el servicio, su precio y duración.</t>
  </si>
  <si>
    <t>RF-24</t>
  </si>
  <si>
    <t>RF-25</t>
  </si>
  <si>
    <t>Disponibilidad</t>
  </si>
  <si>
    <t>Consultar disponibilidad individual</t>
  </si>
  <si>
    <t>RF-26</t>
  </si>
  <si>
    <t>Emprendimiento con servicio activo, responsable asignada, horario, bloqueos y reservas de prueba.</t>
  </si>
  <si>
    <t>Seleccionar un servicio y consultar horas de una trabajadora. Repetir con otra persona y con una emprendedora que atiende sola.</t>
  </si>
  <si>
    <t>Se muestran únicamente las horas libres de la persona elegida, considerando duración, horarios, bloqueos y reservas.</t>
  </si>
  <si>
    <t>RF-27</t>
  </si>
  <si>
    <t>RF-28</t>
  </si>
  <si>
    <t>Reserva</t>
  </si>
  <si>
    <t>Seleccionar servicio, responsable y horario</t>
  </si>
  <si>
    <t>Emprendimiento con servicio activo, trabajadoras asociadas y horas disponibles.</t>
  </si>
  <si>
    <t>RF-29</t>
  </si>
  <si>
    <t>Elegir emprendimiento, servicio y persona responsable; seleccionar fecha y hora. Repetir con una emprendedora que trabaja sola.</t>
  </si>
  <si>
    <t>Permite elegir una persona habilitada y una hora libre; si atiende solo la emprendedora, queda seleccionada como responsable.</t>
  </si>
  <si>
    <t>RF-30</t>
  </si>
  <si>
    <t>RF-31</t>
  </si>
  <si>
    <t>Registrar contacto de clienta</t>
  </si>
  <si>
    <t>Completar una reserva con un correo electrónico válido.</t>
  </si>
  <si>
    <t>El sistema recibe los datos de contacto necesarios para continuar.</t>
  </si>
  <si>
    <t>Revalidar disponibilidad antes de confirmar</t>
  </si>
  <si>
    <t>Elegir un horario para una trabajadora; ocuparlo en otra reserva antes de confirmar la primera.</t>
  </si>
  <si>
    <t>La segunda reserva para esa misma persona y horario se rechaza; no se produce doble reserva.</t>
  </si>
  <si>
    <t>Abonos</t>
  </si>
  <si>
    <t>Efectuar abono de reserva</t>
  </si>
  <si>
    <t>Iniciar un abono usando un entorno de pago de prueba.</t>
  </si>
  <si>
    <t>Se puede completar el abono de prueba asociado a la reserva.</t>
  </si>
  <si>
    <t>Registrar monto y estado del abono</t>
  </si>
  <si>
    <t>Completar un pago de prueba y consultar el registro correspondiente.</t>
  </si>
  <si>
    <t>Quedan guardados el monto, el estado y la reserva asociada.</t>
  </si>
  <si>
    <t>Confirmar reserva con abono aprobado</t>
  </si>
  <si>
    <t>Realizar una reserva con un abono aprobado de prueba y consultar su identificación y estado.</t>
  </si>
  <si>
    <t>La reserva se identifica de forma única y queda confirmada solo cuando se aprueba el abono.</t>
  </si>
  <si>
    <t>Correo</t>
  </si>
  <si>
    <t>Enviar confirmación de cita</t>
  </si>
  <si>
    <t>Completar una reserva y revisar el correo de prueba.</t>
  </si>
  <si>
    <t>SEGUIMIENTO DE PRUEBAS MERAKI</t>
  </si>
  <si>
    <t>Llega una confirmación con los datos esenciales de la cita.</t>
  </si>
  <si>
    <t>Indicador</t>
  </si>
  <si>
    <t>Cantidad</t>
  </si>
  <si>
    <t>Casos diseñados</t>
  </si>
  <si>
    <t>Autenticación</t>
  </si>
  <si>
    <t>Registrar emprendedora</t>
  </si>
  <si>
    <t>Registrar una emprendedora con correo y contraseña válidos.</t>
  </si>
  <si>
    <t>La cuenta queda creada y puede utilizarse para acceder al sistema.</t>
  </si>
  <si>
    <t>Requerimientos RF distintos</t>
  </si>
  <si>
    <t>Aprobados</t>
  </si>
  <si>
    <t>Fallidos</t>
  </si>
  <si>
    <t>Iniciar y cerrar sesión</t>
  </si>
  <si>
    <t>Bloqueados</t>
  </si>
  <si>
    <t>Ingresar con credenciales correctas y luego cerrar sesión.</t>
  </si>
  <si>
    <t>Pendientes</t>
  </si>
  <si>
    <t>Importante: todos los casos están pendientes hasta ejecutar las pruebas reales.</t>
  </si>
  <si>
    <t>Permite entrar al Back Office y cerrar la sesión correctamente.</t>
  </si>
  <si>
    <t>Seguridad</t>
  </si>
  <si>
    <t>Restringir acceso al Back Office</t>
  </si>
  <si>
    <t>Intentar abrir una página privada sin iniciar sesión.</t>
  </si>
  <si>
    <t>El sistema impide el acceso y solicita autenticación.</t>
  </si>
  <si>
    <t>Emprendimiento</t>
  </si>
  <si>
    <t>Crear y modificar perfil</t>
  </si>
  <si>
    <t>Crear el perfil del emprendimiento, guardar y modificar su información.</t>
  </si>
  <si>
    <t>El perfil se crea y los cambios se guardan correctamente.</t>
  </si>
  <si>
    <t>Servicios</t>
  </si>
  <si>
    <t>Administrar servicios</t>
  </si>
  <si>
    <t>Crear, editar, desactivar y volver a activar un servicio.</t>
  </si>
  <si>
    <t>Los cambios se guardan; los servicios desactivados no pueden reservarse.</t>
  </si>
  <si>
    <t>Definir precio, duración y abono</t>
  </si>
  <si>
    <t>Configurar un servicio con precio, duración y monto de abono.</t>
  </si>
  <si>
    <t>Se guardan correctamente los valores definidos para el servicio.</t>
  </si>
  <si>
    <t>Horarios</t>
  </si>
  <si>
    <t>Configurar horarios por persona</t>
  </si>
  <si>
    <t>Emprendimiento con una o más personas responsables de servicios.</t>
  </si>
  <si>
    <t>Registrar y modificar horario semanal de una trabajadora; comparar su disponibilidad con la de otra persona.</t>
  </si>
  <si>
    <t>Se actualizan solo los horarios disponibles de la persona modificada; los de otras personas no cambian.</t>
  </si>
  <si>
    <t>Bloqueos</t>
  </si>
  <si>
    <t>Registrar bloqueos individuales</t>
  </si>
  <si>
    <t>Emprendimiento con dos personas que atienden y horarios configurados.</t>
  </si>
  <si>
    <t>Bloquear una franja de una trabajadora; consultar la disponibilidad de ambas en esa fecha.</t>
  </si>
  <si>
    <t>La franja deja de estar disponible solo para la trabajadora bloqueada; la otra conserva sus horas libres.</t>
  </si>
  <si>
    <t>Agenda</t>
  </si>
  <si>
    <t>Consultar agenda por persona responsable</t>
  </si>
  <si>
    <t>Emprendimiento con reservas de distintas trabajadoras o de la emprendedora.</t>
  </si>
  <si>
    <t>Crear citas de prueba para distintas personas y abrir la agenda del emprendimiento.</t>
  </si>
  <si>
    <t>La agenda muestra fecha, hora, servicio, estado y persona responsable de cada reserva.</t>
  </si>
  <si>
    <t>Actualizar estado de la reserva</t>
  </si>
  <si>
    <t>Cambiar una cita confirmada a atendida, no atendida o cancelada, según corresponda.</t>
  </si>
  <si>
    <t>El estado se guarda y se refleja correctamente en la agenda.</t>
  </si>
  <si>
    <t>Dashboard</t>
  </si>
  <si>
    <t>Mostrar citas por estado y período</t>
  </si>
  <si>
    <t>Media</t>
  </si>
  <si>
    <t>Crear citas de distintos estados y consultar un período determinado.</t>
  </si>
  <si>
    <t>El dashboard muestra cantidades correctas por estado en ese período.</t>
  </si>
  <si>
    <t>Mostrar ingresos por abonos</t>
  </si>
  <si>
    <t>Registrar abonos de prueba y consultar los ingresos mostrados.</t>
  </si>
  <si>
    <t>Los ingresos mostrados coinciden con los abonos registrados.</t>
  </si>
  <si>
    <t>Impedir reservas superpuestas de una emprendedora que trabaja sola</t>
  </si>
  <si>
    <t>Emprendedora que atiende sola, con servicio activo, horario configurado y una reserva existente.</t>
  </si>
  <si>
    <t>Intentar registrar una segunda reserva que se superponga con el horario de una reserva existente de la emprendedora</t>
  </si>
  <si>
    <t>El sistema impide confirmar dos reservas superpuestas para la misma emprendedora.</t>
  </si>
  <si>
    <t>Rechazar correo inválido</t>
  </si>
  <si>
    <t>Escribir un correo sin formato válido al reservar.</t>
  </si>
  <si>
    <t>Se muestra un aviso y no permite continuar con el correo incorrecto.</t>
  </si>
  <si>
    <t>Rechazar correo duplicado</t>
  </si>
  <si>
    <t>Intentar registrar dos emprendedoras con el mismo correo.</t>
  </si>
  <si>
    <t>Se impide crear una segunda cuenta con ese correo.</t>
  </si>
  <si>
    <t>Rechazar contraseña incorrecta</t>
  </si>
  <si>
    <t>Intentar iniciar sesión con una contraseña incorrecta.</t>
  </si>
  <si>
    <t>Se rechaza el acceso sin mostrar información privada.</t>
  </si>
  <si>
    <t>HU-07</t>
  </si>
  <si>
    <t>Consulta de citas</t>
  </si>
  <si>
    <t>Consultar cita mediante enlace</t>
  </si>
  <si>
    <t>Abrir un enlace de consulta de una reserva de prueba.</t>
  </si>
  <si>
    <t>Se muestra únicamente la información de esa reserva.</t>
  </si>
  <si>
    <t>HU-08; RN-09</t>
  </si>
  <si>
    <t>Cancelación</t>
  </si>
  <si>
    <t>Cancelar cita mediante enlace</t>
  </si>
  <si>
    <t>Cancelar una reserva válida desde su enlace.</t>
  </si>
  <si>
    <t>Se actualiza el estado y se libera el horario según las reglas definidas.</t>
  </si>
  <si>
    <t>HU-11; RN-05; RN-06</t>
  </si>
  <si>
    <t>Suscripción</t>
  </si>
  <si>
    <t>Comprobar vigencia de suscripción</t>
  </si>
  <si>
    <t>Consultar una suscripción vigente y otra vencida.</t>
  </si>
  <si>
    <t>Se muestra la vigencia y se aplica la regla de acceso correspondiente.</t>
  </si>
  <si>
    <t>RF-06–RF-13</t>
  </si>
  <si>
    <t>Integración</t>
  </si>
  <si>
    <t>Completar recorrido de reserva con emprendedora independiente.</t>
  </si>
  <si>
    <t>Emprendedora que atiende sola, con servicio activo, horario disponible y servicios de correo y pago de prueba preparados.</t>
  </si>
  <si>
    <t>Buscar el emprendimiento, seleccionar el servicio y horario, ingresar los datos de la clienta, realizar el abono de prueba y verificar la confirmación.</t>
  </si>
  <si>
    <t>La reserva queda asociada a la emprendedora, el abono se registra y los datos de confirmación coinciden con los de la agenda.</t>
  </si>
  <si>
    <t>RNF-07</t>
  </si>
  <si>
    <t>Compatibilidad</t>
  </si>
  <si>
    <t>Verificar adaptación de la página web</t>
  </si>
  <si>
    <t>Abrir la página en pantallas de computador y celular, usando un navegador.</t>
  </si>
  <si>
    <t>Los contenidos se acomodan y la navegación funciona en ambos tamaños.</t>
  </si>
  <si>
    <t>RNF-08</t>
  </si>
  <si>
    <t>Regresión</t>
  </si>
  <si>
    <t>Repetir pruebas después de correcciones</t>
  </si>
  <si>
    <t>Corregir una falla y volver a probar las funciones relacionadas.</t>
  </si>
  <si>
    <t>Las funciones siguen operativas y la falla corregida no vuelve a aparecer.</t>
  </si>
  <si>
    <t>Pagar suscripción mensual</t>
  </si>
  <si>
    <t>Emprendedora registrada, suscripción creada e integración de prueba preparada.</t>
  </si>
  <si>
    <t>Desde Back Office, iniciar pago mensual en Webpay Plus de prueba; completar pago aprobado y repetir con rechazo.</t>
  </si>
  <si>
    <t>El sistema reconoce el pago aprobado y el rechazado sin efectuar cobros reales.</t>
  </si>
  <si>
    <t>Registrar pago de suscripción</t>
  </si>
  <si>
    <t>Pago de suscripción de prueba iniciado y base de datos disponible.</t>
  </si>
  <si>
    <t>Realizar pagos de prueba aprobados y rechazados; revisar los registros guardados.</t>
  </si>
  <si>
    <t>Se registran suscripción asociada, monto, fecha y estado real de cada intento de pago.</t>
  </si>
  <si>
    <t>Consultar estado y vencimiento</t>
  </si>
  <si>
    <t>Emprendedora con suscripción de prueba activa o vencida.</t>
  </si>
  <si>
    <t>Ingresar al Back Office y revisar el estado y la fecha del próximo vencimiento.</t>
  </si>
  <si>
    <t>Se muestra el estado correcto y el próximo vencimiento registrado de la suscripción.</t>
  </si>
  <si>
    <t>Trabajadoras</t>
  </si>
  <si>
    <t>Registrar, editar y desactivar trabajadoras</t>
  </si>
  <si>
    <t>Emprendedora autenticada y emprendimiento creado.</t>
  </si>
  <si>
    <t>Agregar una trabajadora, editar sus datos y desactivarla. Comprobar el caso de una emprendedora que atiende sola.</t>
  </si>
  <si>
    <t>Los cambios se guardan; una trabajadora desactivada no se ofrece para nuevas reservas. La emprendedora que atiende sola figura como responsable.</t>
  </si>
  <si>
    <t>Trabajadoras / servicios</t>
  </si>
  <si>
    <t>Asignar servicios a trabajadoras</t>
  </si>
  <si>
    <t>Emprendimiento con trabajadoras y dos servicios activos.</t>
  </si>
  <si>
    <t>Asignar un servicio a una trabajadora y otro a una segunda; consultar opciones de reserva por servicio.</t>
  </si>
  <si>
    <t>Solo pueden seleccionarse personas activas y habilitadas para el servicio elegido.</t>
  </si>
  <si>
    <t>Reservas / trabajadoras</t>
  </si>
  <si>
    <t>Verificar reservas simultáneas de distintas trabajadoras</t>
  </si>
  <si>
    <t>Emprendimiento con dos trabajadoras activas, ambas asignadas al mismo servicio y con horario disponible coincidente.</t>
  </si>
  <si>
    <t>Reservar una cita a la misma hora para cada trabajadora y luego intentar una segunda cita superpuesta para una de ellas.</t>
  </si>
  <si>
    <t>Se permiten citas simultáneas para trabajadoras distintas y se impide la superposición para una misma trabajadora.</t>
  </si>
  <si>
    <t>RF-06–RF-13; RF-30; RF-31</t>
  </si>
  <si>
    <t>Integración / trabajadoras</t>
  </si>
  <si>
    <t>Completar reserva seleccionando trabajadora</t>
  </si>
  <si>
    <t>Emprendimiento con al menos dos trabajadoras activas, servicios asignados y horarios configurados; correo y pago de prueba preparados.</t>
  </si>
  <si>
    <t>Elegir un servicio, seleccionar una trabajadora habilitada, escoger un horario suyo, ingresar contacto, abonar y verificar confirmación y agenda.</t>
  </si>
  <si>
    <t>La reserva, la trabajadora asignada, el abono, el correo de confirmación y la agenda coinciden; no se ofrece personal no asignado al servicio.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</si>
</sst>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rlito"/>
      <scheme val="minor"/>
    </font>
    <font>
      <sz val="11.0"/>
      <color rgb="FF000000"/>
      <name val="Carlito"/>
    </font>
    <font/>
    <font>
      <b/>
      <sz val="11.0"/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93B62"/>
        <bgColor rgb="FF193B62"/>
      </patternFill>
    </fill>
    <fill>
      <patternFill patternType="solid">
        <fgColor rgb="FF153D64"/>
        <bgColor rgb="FF153D6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DCE9F5"/>
        <bgColor rgb="FFDCE9F5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45B0E1"/>
      </top>
      <bottom style="thin">
        <color rgb="FF45B0E1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shrinkToFit="0" wrapText="1"/>
    </xf>
    <xf borderId="2" fillId="4" fontId="4" numFmtId="0" xfId="0" applyAlignment="1" applyBorder="1" applyFill="1" applyFont="1">
      <alignment shrinkToFit="0" vertical="center" wrapText="1"/>
    </xf>
    <xf borderId="3" fillId="4" fontId="2" numFmtId="0" xfId="0" applyAlignment="1" applyBorder="1" applyFill="1" applyFont="1">
      <alignment shrinkToFit="0" wrapText="1"/>
    </xf>
    <xf borderId="2" fillId="5" fontId="4" numFmtId="0" xfId="0" applyAlignment="1" applyBorder="1" applyFill="1" applyFont="1">
      <alignment shrinkToFit="0" vertical="center" wrapText="1"/>
    </xf>
    <xf borderId="3" fillId="5" fontId="2" numFmtId="0" xfId="0" applyAlignment="1" applyBorder="1" applyFill="1" applyFont="1">
      <alignment shrinkToFit="0" wrapText="1"/>
    </xf>
    <xf borderId="1" fillId="4" fontId="2" numFmtId="0" xfId="0" applyBorder="1" applyFill="1" applyFont="1"/>
    <xf borderId="2" fillId="4" fontId="5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4" fillId="2" fontId="1" numFmtId="0" xfId="0" applyBorder="1" applyFill="1" applyFont="1"/>
    <xf borderId="5" fillId="0" fontId="8" numFmtId="0" xfId="0" applyBorder="1" applyFont="1"/>
    <xf borderId="6" fillId="0" fontId="8" numFmtId="0" xfId="0" applyBorder="1" applyFont="1"/>
    <xf borderId="2" fillId="6" fontId="9" numFmtId="0" xfId="0" applyBorder="1" applyFill="1" applyFont="1"/>
    <xf borderId="2" fillId="0" fontId="2" numFmtId="0" xfId="0" applyBorder="1" applyFont="1"/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FF3E5"/>
          <bgColor rgb="FFDFF3E5"/>
        </patternFill>
      </fill>
      <border/>
    </dxf>
    <dxf>
      <font/>
      <fill>
        <patternFill patternType="solid">
          <fgColor rgb="FFFCE4E4"/>
          <bgColor rgb="FFFCE4E4"/>
        </patternFill>
      </fill>
      <border/>
    </dxf>
  </dxfs>
  <tableStyles count="3">
    <tableStyle count="4" pivot="0" name="Casos de prueb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zabilidad R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idencias y correccion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43" displayName="CasosMeraki" name="CasosMeraki" id="2">
  <tableColumns count="14">
    <tableColumn name="ID caso" id="1"/>
    <tableColumn name="Referencia" id="2"/>
    <tableColumn name="Módulo" id="3"/>
    <tableColumn name="Prueba" id="4"/>
    <tableColumn name="Prioridad" id="5"/>
    <tableColumn name="Precondiciones" id="6"/>
    <tableColumn name="Pasos / datos de prueba" id="7"/>
    <tableColumn name="Resultado esperado" id="8"/>
    <tableColumn name="Estado" id="9"/>
    <tableColumn name="Resultado real" id="10"/>
    <tableColumn name="Fecha" id="11"/>
    <tableColumn name="Responsable" id="12"/>
    <tableColumn name="Evidencia" id="13"/>
    <tableColumn name="Observaciones" id="14"/>
  </tableColumns>
  <tableStyleInfo name="Casos de prueba-style" showColumnStripes="0" showFirstColumn="1" showLastColumn="1" showRowStripes="1"/>
</table>
</file>

<file path=xl/tables/table2.xml><?xml version="1.0" encoding="utf-8"?>
<table xmlns="http://schemas.openxmlformats.org/spreadsheetml/2006/main" ref="A1:C32" displayName="TrazabilidadMeraki" name="TrazabilidadMeraki" id="1">
  <tableColumns count="3">
    <tableColumn name="Requerimiento funcional" id="1"/>
    <tableColumn name="Caso principal" id="2"/>
    <tableColumn name="Pruebas adicionales relacionadas" id="3"/>
  </tableColumns>
  <tableStyleInfo name="Trazabilidad RF-style" showColumnStripes="0" showFirstColumn="1" showLastColumn="1" showRowStripes="1"/>
</table>
</file>

<file path=xl/tables/table3.xml><?xml version="1.0" encoding="utf-8"?>
<table xmlns="http://schemas.openxmlformats.org/spreadsheetml/2006/main" ref="A1:K3" displayName="IncidenciasMeraki" name="IncidenciasMeraki" id="3">
  <tableColumns count="11">
    <tableColumn name="ID incidencia" id="1"/>
    <tableColumn name="Caso asociado" id="2"/>
    <tableColumn name="Fecha detectada" id="3"/>
    <tableColumn name="Error detectado" id="4"/>
    <tableColumn name="Responsable" id="5"/>
    <tableColumn name="Corrección realizada" id="6"/>
    <tableColumn name="Fecha corrección" id="7"/>
    <tableColumn name="Nueva prueba realizada" id="8"/>
    <tableColumn name="Resultado" id="9"/>
    <tableColumn name="Evidencia" id="10"/>
    <tableColumn name="Observaciones" id="11"/>
  </tableColumns>
  <tableStyleInfo name="Incidencias y correc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0.0"/>
    <col customWidth="1" min="2" max="26" width="9.13"/>
  </cols>
  <sheetData>
    <row r="1" ht="15.75" customHeight="1">
      <c r="A1" s="1" t="s">
        <v>0</v>
      </c>
    </row>
    <row r="2" ht="15.0" customHeight="1">
      <c r="A2" s="2" t="s">
        <v>2</v>
      </c>
    </row>
    <row r="3" ht="15.0" customHeight="1">
      <c r="A3" s="3" t="s">
        <v>3</v>
      </c>
    </row>
    <row r="4" ht="15.0" customHeight="1">
      <c r="A4" s="2" t="s">
        <v>4</v>
      </c>
    </row>
    <row r="5" ht="15.0" customHeight="1">
      <c r="A5" s="2" t="s">
        <v>5</v>
      </c>
    </row>
    <row r="6" ht="15.0" customHeight="1">
      <c r="A6" s="2" t="s">
        <v>6</v>
      </c>
    </row>
    <row r="7" ht="15.0" customHeight="1">
      <c r="A7" s="2" t="s">
        <v>7</v>
      </c>
    </row>
    <row r="8" ht="15.0" customHeight="1">
      <c r="A8" s="2" t="s">
        <v>9</v>
      </c>
    </row>
    <row r="9" ht="15.0" customHeight="1">
      <c r="A9" s="2" t="s">
        <v>10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3" width="19.0"/>
    <col customWidth="1" min="4" max="4" width="34.0"/>
    <col customWidth="1" min="5" max="5" width="13.0"/>
    <col customWidth="1" min="6" max="6" width="38.0"/>
    <col customWidth="1" min="7" max="7" width="54.0"/>
    <col customWidth="1" min="8" max="8" width="57.0"/>
    <col customWidth="1" min="9" max="9" width="16.0"/>
    <col customWidth="1" min="10" max="10" width="41.0"/>
    <col customWidth="1" min="11" max="11" width="17.0"/>
    <col customWidth="1" min="12" max="12" width="19.0"/>
    <col customWidth="1" min="13" max="13" width="32.0"/>
    <col customWidth="1" min="14" max="14" width="38.0"/>
    <col customWidth="1" min="15" max="26" width="9.13"/>
  </cols>
  <sheetData>
    <row r="1" ht="33.75" customHeight="1">
      <c r="A1" s="12" t="s">
        <v>28</v>
      </c>
      <c r="B1" s="12" t="s">
        <v>36</v>
      </c>
      <c r="C1" s="12" t="s">
        <v>40</v>
      </c>
      <c r="D1" s="12" t="s">
        <v>42</v>
      </c>
      <c r="E1" s="12" t="s">
        <v>45</v>
      </c>
      <c r="F1" s="12" t="s">
        <v>47</v>
      </c>
      <c r="G1" s="12" t="s">
        <v>49</v>
      </c>
      <c r="H1" s="12" t="s">
        <v>52</v>
      </c>
      <c r="I1" s="12" t="s">
        <v>8</v>
      </c>
      <c r="J1" s="12" t="s">
        <v>57</v>
      </c>
      <c r="K1" s="12" t="s">
        <v>11</v>
      </c>
      <c r="L1" s="12" t="s">
        <v>62</v>
      </c>
      <c r="M1" s="12" t="s">
        <v>13</v>
      </c>
      <c r="N1" s="12" t="s">
        <v>66</v>
      </c>
    </row>
    <row r="2" ht="57.75" customHeight="1">
      <c r="A2" s="15" t="s">
        <v>14</v>
      </c>
      <c r="B2" s="15" t="s">
        <v>72</v>
      </c>
      <c r="C2" s="15" t="s">
        <v>74</v>
      </c>
      <c r="D2" s="15" t="s">
        <v>79</v>
      </c>
      <c r="E2" s="15" t="s">
        <v>82</v>
      </c>
      <c r="F2" s="15" t="s">
        <v>85</v>
      </c>
      <c r="G2" s="15" t="s">
        <v>88</v>
      </c>
      <c r="H2" s="15" t="s">
        <v>91</v>
      </c>
      <c r="I2" s="15" t="s">
        <v>15</v>
      </c>
      <c r="J2" s="15"/>
      <c r="K2" s="15"/>
      <c r="L2" s="15"/>
      <c r="M2" s="15"/>
      <c r="N2" s="15"/>
    </row>
    <row r="3" ht="57.75" customHeight="1">
      <c r="A3" s="15" t="s">
        <v>17</v>
      </c>
      <c r="B3" s="15" t="s">
        <v>50</v>
      </c>
      <c r="C3" s="15" t="s">
        <v>99</v>
      </c>
      <c r="D3" s="15" t="s">
        <v>101</v>
      </c>
      <c r="E3" s="15" t="s">
        <v>82</v>
      </c>
      <c r="F3" s="15" t="s">
        <v>85</v>
      </c>
      <c r="G3" s="15" t="s">
        <v>102</v>
      </c>
      <c r="H3" s="15" t="s">
        <v>104</v>
      </c>
      <c r="I3" s="15" t="s">
        <v>15</v>
      </c>
      <c r="J3" s="15"/>
      <c r="K3" s="15"/>
      <c r="L3" s="15"/>
      <c r="M3" s="15"/>
      <c r="N3" s="15"/>
    </row>
    <row r="4" ht="57.75" customHeight="1">
      <c r="A4" s="15" t="s">
        <v>18</v>
      </c>
      <c r="B4" s="15" t="s">
        <v>55</v>
      </c>
      <c r="C4" s="15" t="s">
        <v>108</v>
      </c>
      <c r="D4" s="15" t="s">
        <v>109</v>
      </c>
      <c r="E4" s="15" t="s">
        <v>82</v>
      </c>
      <c r="F4" s="15" t="s">
        <v>85</v>
      </c>
      <c r="G4" s="15" t="s">
        <v>111</v>
      </c>
      <c r="H4" s="15" t="s">
        <v>112</v>
      </c>
      <c r="I4" s="15" t="s">
        <v>15</v>
      </c>
      <c r="J4" s="15"/>
      <c r="K4" s="15"/>
      <c r="L4" s="15"/>
      <c r="M4" s="15"/>
      <c r="N4" s="15"/>
    </row>
    <row r="5" ht="57.75" customHeight="1">
      <c r="A5" s="15" t="s">
        <v>19</v>
      </c>
      <c r="B5" s="15" t="s">
        <v>60</v>
      </c>
      <c r="C5" s="15" t="s">
        <v>108</v>
      </c>
      <c r="D5" s="15" t="s">
        <v>116</v>
      </c>
      <c r="E5" s="15" t="s">
        <v>82</v>
      </c>
      <c r="F5" s="15" t="s">
        <v>85</v>
      </c>
      <c r="G5" s="15" t="s">
        <v>118</v>
      </c>
      <c r="H5" s="15" t="s">
        <v>119</v>
      </c>
      <c r="I5" s="15" t="s">
        <v>15</v>
      </c>
      <c r="J5" s="15"/>
      <c r="K5" s="15"/>
      <c r="L5" s="15"/>
      <c r="M5" s="15"/>
      <c r="N5" s="15"/>
    </row>
    <row r="6" ht="57.75" customHeight="1">
      <c r="A6" s="15" t="s">
        <v>20</v>
      </c>
      <c r="B6" s="15" t="s">
        <v>65</v>
      </c>
      <c r="C6" s="15" t="s">
        <v>122</v>
      </c>
      <c r="D6" s="15" t="s">
        <v>123</v>
      </c>
      <c r="E6" s="15" t="s">
        <v>82</v>
      </c>
      <c r="F6" s="15" t="s">
        <v>85</v>
      </c>
      <c r="G6" s="15" t="s">
        <v>124</v>
      </c>
      <c r="H6" s="15" t="s">
        <v>126</v>
      </c>
      <c r="I6" s="15" t="s">
        <v>15</v>
      </c>
      <c r="J6" s="15"/>
      <c r="K6" s="15"/>
      <c r="L6" s="15"/>
      <c r="M6" s="15"/>
      <c r="N6" s="15"/>
    </row>
    <row r="7" ht="57.75" customHeight="1">
      <c r="A7" s="15" t="s">
        <v>21</v>
      </c>
      <c r="B7" s="15" t="s">
        <v>70</v>
      </c>
      <c r="C7" s="15" t="s">
        <v>129</v>
      </c>
      <c r="D7" s="15" t="s">
        <v>130</v>
      </c>
      <c r="E7" s="15" t="s">
        <v>82</v>
      </c>
      <c r="F7" s="15" t="s">
        <v>132</v>
      </c>
      <c r="G7" s="15" t="s">
        <v>133</v>
      </c>
      <c r="H7" s="15" t="s">
        <v>134</v>
      </c>
      <c r="I7" s="15" t="s">
        <v>15</v>
      </c>
      <c r="J7" s="15"/>
      <c r="K7" s="15"/>
      <c r="L7" s="15"/>
      <c r="M7" s="15"/>
      <c r="N7" s="15"/>
    </row>
    <row r="8" ht="57.75" customHeight="1">
      <c r="A8" s="15" t="s">
        <v>22</v>
      </c>
      <c r="B8" s="15" t="s">
        <v>81</v>
      </c>
      <c r="C8" s="15" t="s">
        <v>137</v>
      </c>
      <c r="D8" s="15" t="s">
        <v>138</v>
      </c>
      <c r="E8" s="15" t="s">
        <v>82</v>
      </c>
      <c r="F8" s="15" t="s">
        <v>139</v>
      </c>
      <c r="G8" s="15" t="s">
        <v>141</v>
      </c>
      <c r="H8" s="15" t="s">
        <v>142</v>
      </c>
      <c r="I8" s="15" t="s">
        <v>15</v>
      </c>
      <c r="J8" s="15"/>
      <c r="K8" s="15"/>
      <c r="L8" s="15"/>
      <c r="M8" s="15"/>
      <c r="N8" s="15"/>
    </row>
    <row r="9" ht="57.75" customHeight="1">
      <c r="A9" s="15" t="s">
        <v>23</v>
      </c>
      <c r="B9" s="15" t="s">
        <v>90</v>
      </c>
      <c r="C9" s="15" t="s">
        <v>137</v>
      </c>
      <c r="D9" s="15" t="s">
        <v>145</v>
      </c>
      <c r="E9" s="15" t="s">
        <v>82</v>
      </c>
      <c r="F9" s="15" t="s">
        <v>85</v>
      </c>
      <c r="G9" s="15" t="s">
        <v>146</v>
      </c>
      <c r="H9" s="15" t="s">
        <v>147</v>
      </c>
      <c r="I9" s="15" t="s">
        <v>15</v>
      </c>
      <c r="J9" s="15"/>
      <c r="K9" s="15"/>
      <c r="L9" s="15"/>
      <c r="M9" s="15"/>
      <c r="N9" s="15"/>
    </row>
    <row r="10" ht="57.75" customHeight="1">
      <c r="A10" s="15" t="s">
        <v>24</v>
      </c>
      <c r="B10" s="15" t="s">
        <v>94</v>
      </c>
      <c r="C10" s="15" t="s">
        <v>137</v>
      </c>
      <c r="D10" s="15" t="s">
        <v>148</v>
      </c>
      <c r="E10" s="15" t="s">
        <v>82</v>
      </c>
      <c r="F10" s="15" t="s">
        <v>85</v>
      </c>
      <c r="G10" s="15" t="s">
        <v>149</v>
      </c>
      <c r="H10" s="15" t="s">
        <v>150</v>
      </c>
      <c r="I10" s="15" t="s">
        <v>15</v>
      </c>
      <c r="J10" s="15"/>
      <c r="K10" s="15"/>
      <c r="L10" s="15"/>
      <c r="M10" s="15"/>
      <c r="N10" s="15"/>
    </row>
    <row r="11" ht="57.75" customHeight="1">
      <c r="A11" s="15" t="s">
        <v>25</v>
      </c>
      <c r="B11" s="15" t="s">
        <v>97</v>
      </c>
      <c r="C11" s="15" t="s">
        <v>151</v>
      </c>
      <c r="D11" s="15" t="s">
        <v>152</v>
      </c>
      <c r="E11" s="15" t="s">
        <v>82</v>
      </c>
      <c r="F11" s="15" t="s">
        <v>85</v>
      </c>
      <c r="G11" s="15" t="s">
        <v>153</v>
      </c>
      <c r="H11" s="15" t="s">
        <v>154</v>
      </c>
      <c r="I11" s="15" t="s">
        <v>15</v>
      </c>
      <c r="J11" s="15"/>
      <c r="K11" s="15"/>
      <c r="L11" s="15"/>
      <c r="M11" s="15"/>
      <c r="N11" s="15"/>
    </row>
    <row r="12" ht="57.75" customHeight="1">
      <c r="A12" s="15" t="s">
        <v>26</v>
      </c>
      <c r="B12" s="15" t="s">
        <v>100</v>
      </c>
      <c r="C12" s="15" t="s">
        <v>151</v>
      </c>
      <c r="D12" s="15" t="s">
        <v>155</v>
      </c>
      <c r="E12" s="15" t="s">
        <v>82</v>
      </c>
      <c r="F12" s="15" t="s">
        <v>85</v>
      </c>
      <c r="G12" s="15" t="s">
        <v>156</v>
      </c>
      <c r="H12" s="15" t="s">
        <v>157</v>
      </c>
      <c r="I12" s="15" t="s">
        <v>15</v>
      </c>
      <c r="J12" s="15"/>
      <c r="K12" s="15"/>
      <c r="L12" s="15"/>
      <c r="M12" s="15"/>
      <c r="N12" s="15"/>
    </row>
    <row r="13" ht="57.75" customHeight="1">
      <c r="A13" s="15" t="s">
        <v>29</v>
      </c>
      <c r="B13" s="15" t="s">
        <v>103</v>
      </c>
      <c r="C13" s="15" t="s">
        <v>137</v>
      </c>
      <c r="D13" s="15" t="s">
        <v>158</v>
      </c>
      <c r="E13" s="15" t="s">
        <v>82</v>
      </c>
      <c r="F13" s="15" t="s">
        <v>85</v>
      </c>
      <c r="G13" s="15" t="s">
        <v>159</v>
      </c>
      <c r="H13" s="15" t="s">
        <v>160</v>
      </c>
      <c r="I13" s="15" t="s">
        <v>15</v>
      </c>
      <c r="J13" s="15"/>
      <c r="K13" s="15"/>
      <c r="L13" s="15"/>
      <c r="M13" s="15"/>
      <c r="N13" s="15"/>
    </row>
    <row r="14" ht="57.75" customHeight="1">
      <c r="A14" s="15" t="s">
        <v>30</v>
      </c>
      <c r="B14" s="15" t="s">
        <v>105</v>
      </c>
      <c r="C14" s="15" t="s">
        <v>161</v>
      </c>
      <c r="D14" s="15" t="s">
        <v>162</v>
      </c>
      <c r="E14" s="15" t="s">
        <v>82</v>
      </c>
      <c r="F14" s="15" t="s">
        <v>85</v>
      </c>
      <c r="G14" s="15" t="s">
        <v>163</v>
      </c>
      <c r="H14" s="15" t="s">
        <v>165</v>
      </c>
      <c r="I14" s="15" t="s">
        <v>15</v>
      </c>
      <c r="J14" s="15"/>
      <c r="K14" s="15"/>
      <c r="L14" s="15"/>
      <c r="M14" s="15"/>
      <c r="N14" s="15"/>
    </row>
    <row r="15" ht="57.75" customHeight="1">
      <c r="A15" s="15" t="s">
        <v>31</v>
      </c>
      <c r="B15" s="15" t="s">
        <v>106</v>
      </c>
      <c r="C15" s="15" t="s">
        <v>169</v>
      </c>
      <c r="D15" s="15" t="s">
        <v>170</v>
      </c>
      <c r="E15" s="15" t="s">
        <v>82</v>
      </c>
      <c r="F15" s="15" t="s">
        <v>85</v>
      </c>
      <c r="G15" s="15" t="s">
        <v>171</v>
      </c>
      <c r="H15" s="15" t="s">
        <v>172</v>
      </c>
      <c r="I15" s="15" t="s">
        <v>15</v>
      </c>
      <c r="J15" s="15"/>
      <c r="K15" s="15"/>
      <c r="L15" s="15"/>
      <c r="M15" s="15"/>
      <c r="N15" s="15"/>
    </row>
    <row r="16" ht="57.75" customHeight="1">
      <c r="A16" s="15" t="s">
        <v>32</v>
      </c>
      <c r="B16" s="15" t="s">
        <v>107</v>
      </c>
      <c r="C16" s="15" t="s">
        <v>169</v>
      </c>
      <c r="D16" s="15" t="s">
        <v>176</v>
      </c>
      <c r="E16" s="15" t="s">
        <v>82</v>
      </c>
      <c r="F16" s="15" t="s">
        <v>85</v>
      </c>
      <c r="G16" s="15" t="s">
        <v>178</v>
      </c>
      <c r="H16" s="15" t="s">
        <v>181</v>
      </c>
      <c r="I16" s="15" t="s">
        <v>15</v>
      </c>
      <c r="J16" s="15"/>
      <c r="K16" s="15"/>
      <c r="L16" s="15"/>
      <c r="M16" s="15"/>
      <c r="N16" s="15"/>
    </row>
    <row r="17" ht="57.75" customHeight="1">
      <c r="A17" s="15" t="s">
        <v>33</v>
      </c>
      <c r="B17" s="15" t="s">
        <v>110</v>
      </c>
      <c r="C17" s="15" t="s">
        <v>182</v>
      </c>
      <c r="D17" s="15" t="s">
        <v>183</v>
      </c>
      <c r="E17" s="15" t="s">
        <v>82</v>
      </c>
      <c r="F17" s="15" t="s">
        <v>85</v>
      </c>
      <c r="G17" s="15" t="s">
        <v>184</v>
      </c>
      <c r="H17" s="15" t="s">
        <v>185</v>
      </c>
      <c r="I17" s="15" t="s">
        <v>15</v>
      </c>
      <c r="J17" s="15"/>
      <c r="K17" s="15"/>
      <c r="L17" s="15"/>
      <c r="M17" s="15"/>
      <c r="N17" s="15"/>
    </row>
    <row r="18" ht="57.75" customHeight="1">
      <c r="A18" s="15" t="s">
        <v>34</v>
      </c>
      <c r="B18" s="15" t="s">
        <v>113</v>
      </c>
      <c r="C18" s="15" t="s">
        <v>186</v>
      </c>
      <c r="D18" s="15" t="s">
        <v>187</v>
      </c>
      <c r="E18" s="15" t="s">
        <v>82</v>
      </c>
      <c r="F18" s="15" t="s">
        <v>85</v>
      </c>
      <c r="G18" s="15" t="s">
        <v>188</v>
      </c>
      <c r="H18" s="15" t="s">
        <v>189</v>
      </c>
      <c r="I18" s="15" t="s">
        <v>15</v>
      </c>
      <c r="J18" s="15"/>
      <c r="K18" s="15"/>
      <c r="L18" s="15"/>
      <c r="M18" s="15"/>
      <c r="N18" s="15"/>
    </row>
    <row r="19" ht="57.75" customHeight="1">
      <c r="A19" s="15" t="s">
        <v>37</v>
      </c>
      <c r="B19" s="15" t="s">
        <v>114</v>
      </c>
      <c r="C19" s="15" t="s">
        <v>190</v>
      </c>
      <c r="D19" s="15" t="s">
        <v>191</v>
      </c>
      <c r="E19" s="15" t="s">
        <v>82</v>
      </c>
      <c r="F19" s="15" t="s">
        <v>85</v>
      </c>
      <c r="G19" s="15" t="s">
        <v>192</v>
      </c>
      <c r="H19" s="15" t="s">
        <v>193</v>
      </c>
      <c r="I19" s="15" t="s">
        <v>15</v>
      </c>
      <c r="J19" s="15"/>
      <c r="K19" s="15"/>
      <c r="L19" s="15"/>
      <c r="M19" s="15"/>
      <c r="N19" s="15"/>
    </row>
    <row r="20" ht="57.75" customHeight="1">
      <c r="A20" s="15" t="s">
        <v>38</v>
      </c>
      <c r="B20" s="15" t="s">
        <v>115</v>
      </c>
      <c r="C20" s="15" t="s">
        <v>190</v>
      </c>
      <c r="D20" s="15" t="s">
        <v>194</v>
      </c>
      <c r="E20" s="15" t="s">
        <v>82</v>
      </c>
      <c r="F20" s="15" t="s">
        <v>85</v>
      </c>
      <c r="G20" s="15" t="s">
        <v>195</v>
      </c>
      <c r="H20" s="15" t="s">
        <v>196</v>
      </c>
      <c r="I20" s="15" t="s">
        <v>15</v>
      </c>
      <c r="J20" s="15"/>
      <c r="K20" s="15"/>
      <c r="L20" s="15"/>
      <c r="M20" s="15"/>
      <c r="N20" s="15"/>
    </row>
    <row r="21" ht="57.75" customHeight="1">
      <c r="A21" s="15" t="s">
        <v>41</v>
      </c>
      <c r="B21" s="15" t="s">
        <v>117</v>
      </c>
      <c r="C21" s="15" t="s">
        <v>197</v>
      </c>
      <c r="D21" s="15" t="s">
        <v>198</v>
      </c>
      <c r="E21" s="15" t="s">
        <v>82</v>
      </c>
      <c r="F21" s="15" t="s">
        <v>199</v>
      </c>
      <c r="G21" s="15" t="s">
        <v>200</v>
      </c>
      <c r="H21" s="15" t="s">
        <v>201</v>
      </c>
      <c r="I21" s="15" t="s">
        <v>15</v>
      </c>
      <c r="J21" s="15"/>
      <c r="K21" s="15"/>
      <c r="L21" s="15"/>
      <c r="M21" s="15"/>
      <c r="N21" s="15"/>
    </row>
    <row r="22" ht="57.75" customHeight="1">
      <c r="A22" s="15" t="s">
        <v>43</v>
      </c>
      <c r="B22" s="15" t="s">
        <v>120</v>
      </c>
      <c r="C22" s="15" t="s">
        <v>202</v>
      </c>
      <c r="D22" s="15" t="s">
        <v>203</v>
      </c>
      <c r="E22" s="15" t="s">
        <v>82</v>
      </c>
      <c r="F22" s="15" t="s">
        <v>204</v>
      </c>
      <c r="G22" s="15" t="s">
        <v>205</v>
      </c>
      <c r="H22" s="15" t="s">
        <v>206</v>
      </c>
      <c r="I22" s="15" t="s">
        <v>15</v>
      </c>
      <c r="J22" s="15"/>
      <c r="K22" s="15"/>
      <c r="L22" s="15"/>
      <c r="M22" s="15"/>
      <c r="N22" s="15"/>
    </row>
    <row r="23" ht="57.75" customHeight="1">
      <c r="A23" s="15" t="s">
        <v>44</v>
      </c>
      <c r="B23" s="15" t="s">
        <v>121</v>
      </c>
      <c r="C23" s="15" t="s">
        <v>207</v>
      </c>
      <c r="D23" s="15" t="s">
        <v>208</v>
      </c>
      <c r="E23" s="15" t="s">
        <v>82</v>
      </c>
      <c r="F23" s="15" t="s">
        <v>209</v>
      </c>
      <c r="G23" s="15" t="s">
        <v>210</v>
      </c>
      <c r="H23" s="15" t="s">
        <v>211</v>
      </c>
      <c r="I23" s="15" t="s">
        <v>15</v>
      </c>
      <c r="J23" s="15"/>
      <c r="K23" s="15"/>
      <c r="L23" s="15"/>
      <c r="M23" s="15"/>
      <c r="N23" s="15"/>
    </row>
    <row r="24" ht="57.75" customHeight="1">
      <c r="A24" s="15" t="s">
        <v>46</v>
      </c>
      <c r="B24" s="15" t="s">
        <v>125</v>
      </c>
      <c r="C24" s="15" t="s">
        <v>207</v>
      </c>
      <c r="D24" s="15" t="s">
        <v>212</v>
      </c>
      <c r="E24" s="15" t="s">
        <v>82</v>
      </c>
      <c r="F24" s="15" t="s">
        <v>85</v>
      </c>
      <c r="G24" s="15" t="s">
        <v>213</v>
      </c>
      <c r="H24" s="15" t="s">
        <v>214</v>
      </c>
      <c r="I24" s="15" t="s">
        <v>15</v>
      </c>
      <c r="J24" s="15"/>
      <c r="K24" s="15"/>
      <c r="L24" s="15"/>
      <c r="M24" s="15"/>
      <c r="N24" s="15"/>
    </row>
    <row r="25" ht="57.75" customHeight="1">
      <c r="A25" s="15" t="s">
        <v>51</v>
      </c>
      <c r="B25" s="15" t="s">
        <v>127</v>
      </c>
      <c r="C25" s="15" t="s">
        <v>215</v>
      </c>
      <c r="D25" s="15" t="s">
        <v>216</v>
      </c>
      <c r="E25" s="15" t="s">
        <v>217</v>
      </c>
      <c r="F25" s="15" t="s">
        <v>85</v>
      </c>
      <c r="G25" s="15" t="s">
        <v>218</v>
      </c>
      <c r="H25" s="15" t="s">
        <v>219</v>
      </c>
      <c r="I25" s="15" t="s">
        <v>15</v>
      </c>
      <c r="J25" s="15"/>
      <c r="K25" s="15"/>
      <c r="L25" s="15"/>
      <c r="M25" s="15"/>
      <c r="N25" s="15"/>
    </row>
    <row r="26" ht="57.75" customHeight="1">
      <c r="A26" s="15" t="s">
        <v>53</v>
      </c>
      <c r="B26" s="15" t="s">
        <v>128</v>
      </c>
      <c r="C26" s="15" t="s">
        <v>215</v>
      </c>
      <c r="D26" s="15" t="s">
        <v>220</v>
      </c>
      <c r="E26" s="15" t="s">
        <v>217</v>
      </c>
      <c r="F26" s="15" t="s">
        <v>85</v>
      </c>
      <c r="G26" s="15" t="s">
        <v>221</v>
      </c>
      <c r="H26" s="15" t="s">
        <v>222</v>
      </c>
      <c r="I26" s="15" t="s">
        <v>15</v>
      </c>
      <c r="J26" s="15"/>
      <c r="K26" s="15"/>
      <c r="L26" s="15"/>
      <c r="M26" s="15"/>
      <c r="N26" s="15"/>
    </row>
    <row r="27" ht="57.75" customHeight="1">
      <c r="A27" s="15" t="s">
        <v>54</v>
      </c>
      <c r="B27" s="15" t="s">
        <v>131</v>
      </c>
      <c r="C27" s="15" t="s">
        <v>137</v>
      </c>
      <c r="D27" s="28" t="s">
        <v>223</v>
      </c>
      <c r="E27" s="15" t="s">
        <v>82</v>
      </c>
      <c r="F27" s="28" t="s">
        <v>224</v>
      </c>
      <c r="G27" s="28" t="s">
        <v>225</v>
      </c>
      <c r="H27" s="28" t="s">
        <v>226</v>
      </c>
      <c r="I27" s="15" t="s">
        <v>15</v>
      </c>
      <c r="J27" s="15"/>
      <c r="K27" s="15"/>
      <c r="L27" s="15"/>
      <c r="M27" s="15"/>
      <c r="N27" s="15"/>
    </row>
    <row r="28" ht="57.75" customHeight="1">
      <c r="A28" s="15" t="s">
        <v>56</v>
      </c>
      <c r="B28" s="15" t="s">
        <v>90</v>
      </c>
      <c r="C28" s="15" t="s">
        <v>137</v>
      </c>
      <c r="D28" s="15" t="s">
        <v>227</v>
      </c>
      <c r="E28" s="15" t="s">
        <v>82</v>
      </c>
      <c r="F28" s="15" t="s">
        <v>85</v>
      </c>
      <c r="G28" s="15" t="s">
        <v>228</v>
      </c>
      <c r="H28" s="15" t="s">
        <v>229</v>
      </c>
      <c r="I28" s="15" t="s">
        <v>15</v>
      </c>
      <c r="J28" s="15"/>
      <c r="K28" s="15"/>
      <c r="L28" s="15"/>
      <c r="M28" s="15"/>
      <c r="N28" s="15"/>
    </row>
    <row r="29" ht="57.75" customHeight="1">
      <c r="A29" s="15" t="s">
        <v>58</v>
      </c>
      <c r="B29" s="15" t="s">
        <v>106</v>
      </c>
      <c r="C29" s="15" t="s">
        <v>169</v>
      </c>
      <c r="D29" s="15" t="s">
        <v>230</v>
      </c>
      <c r="E29" s="15" t="s">
        <v>82</v>
      </c>
      <c r="F29" s="15" t="s">
        <v>85</v>
      </c>
      <c r="G29" s="15" t="s">
        <v>231</v>
      </c>
      <c r="H29" s="15" t="s">
        <v>232</v>
      </c>
      <c r="I29" s="15" t="s">
        <v>15</v>
      </c>
      <c r="J29" s="15"/>
      <c r="K29" s="15"/>
      <c r="L29" s="15"/>
      <c r="M29" s="15"/>
      <c r="N29" s="15"/>
    </row>
    <row r="30" ht="57.75" customHeight="1">
      <c r="A30" s="15" t="s">
        <v>59</v>
      </c>
      <c r="B30" s="15" t="s">
        <v>107</v>
      </c>
      <c r="C30" s="15" t="s">
        <v>169</v>
      </c>
      <c r="D30" s="15" t="s">
        <v>233</v>
      </c>
      <c r="E30" s="15" t="s">
        <v>82</v>
      </c>
      <c r="F30" s="15" t="s">
        <v>85</v>
      </c>
      <c r="G30" s="15" t="s">
        <v>234</v>
      </c>
      <c r="H30" s="15" t="s">
        <v>235</v>
      </c>
      <c r="I30" s="15" t="s">
        <v>15</v>
      </c>
      <c r="J30" s="15"/>
      <c r="K30" s="15"/>
      <c r="L30" s="15"/>
      <c r="M30" s="15"/>
      <c r="N30" s="15"/>
    </row>
    <row r="31" ht="57.75" customHeight="1">
      <c r="A31" s="15" t="s">
        <v>61</v>
      </c>
      <c r="B31" s="15" t="s">
        <v>236</v>
      </c>
      <c r="C31" s="15" t="s">
        <v>237</v>
      </c>
      <c r="D31" s="15" t="s">
        <v>238</v>
      </c>
      <c r="E31" s="15" t="s">
        <v>217</v>
      </c>
      <c r="F31" s="15" t="s">
        <v>85</v>
      </c>
      <c r="G31" s="15" t="s">
        <v>239</v>
      </c>
      <c r="H31" s="15" t="s">
        <v>240</v>
      </c>
      <c r="I31" s="15" t="s">
        <v>15</v>
      </c>
      <c r="J31" s="15"/>
      <c r="K31" s="15"/>
      <c r="L31" s="15"/>
      <c r="M31" s="15"/>
      <c r="N31" s="15"/>
    </row>
    <row r="32" ht="57.75" customHeight="1">
      <c r="A32" s="15" t="s">
        <v>63</v>
      </c>
      <c r="B32" s="15" t="s">
        <v>241</v>
      </c>
      <c r="C32" s="15" t="s">
        <v>242</v>
      </c>
      <c r="D32" s="15" t="s">
        <v>243</v>
      </c>
      <c r="E32" s="15" t="s">
        <v>217</v>
      </c>
      <c r="F32" s="28" t="s">
        <v>85</v>
      </c>
      <c r="G32" s="15" t="s">
        <v>244</v>
      </c>
      <c r="H32" s="15" t="s">
        <v>245</v>
      </c>
      <c r="I32" s="15" t="s">
        <v>15</v>
      </c>
      <c r="J32" s="15"/>
      <c r="K32" s="15"/>
      <c r="L32" s="15"/>
      <c r="M32" s="15"/>
      <c r="N32" s="15"/>
    </row>
    <row r="33" ht="57.75" customHeight="1">
      <c r="A33" s="15" t="s">
        <v>64</v>
      </c>
      <c r="B33" s="15" t="s">
        <v>246</v>
      </c>
      <c r="C33" s="15" t="s">
        <v>247</v>
      </c>
      <c r="D33" s="15" t="s">
        <v>248</v>
      </c>
      <c r="E33" s="15" t="s">
        <v>217</v>
      </c>
      <c r="F33" s="15" t="s">
        <v>85</v>
      </c>
      <c r="G33" s="15" t="s">
        <v>249</v>
      </c>
      <c r="H33" s="15" t="s">
        <v>250</v>
      </c>
      <c r="I33" s="15" t="s">
        <v>15</v>
      </c>
      <c r="J33" s="15"/>
      <c r="K33" s="15"/>
      <c r="L33" s="15"/>
      <c r="M33" s="15"/>
      <c r="N33" s="15"/>
    </row>
    <row r="34" ht="57.75" customHeight="1">
      <c r="A34" s="15" t="s">
        <v>67</v>
      </c>
      <c r="B34" s="15" t="s">
        <v>251</v>
      </c>
      <c r="C34" s="15" t="s">
        <v>252</v>
      </c>
      <c r="D34" s="28" t="s">
        <v>253</v>
      </c>
      <c r="E34" s="15" t="s">
        <v>82</v>
      </c>
      <c r="F34" s="28" t="s">
        <v>254</v>
      </c>
      <c r="G34" s="28" t="s">
        <v>255</v>
      </c>
      <c r="H34" s="28" t="s">
        <v>256</v>
      </c>
      <c r="I34" s="15" t="s">
        <v>15</v>
      </c>
      <c r="J34" s="15"/>
      <c r="K34" s="15"/>
      <c r="L34" s="15"/>
      <c r="M34" s="15"/>
      <c r="N34" s="15"/>
    </row>
    <row r="35" ht="57.75" customHeight="1">
      <c r="A35" s="15" t="s">
        <v>68</v>
      </c>
      <c r="B35" s="15" t="s">
        <v>257</v>
      </c>
      <c r="C35" s="15" t="s">
        <v>258</v>
      </c>
      <c r="D35" s="15" t="s">
        <v>259</v>
      </c>
      <c r="E35" s="15" t="s">
        <v>217</v>
      </c>
      <c r="F35" s="15" t="s">
        <v>85</v>
      </c>
      <c r="G35" s="15" t="s">
        <v>260</v>
      </c>
      <c r="H35" s="15" t="s">
        <v>261</v>
      </c>
      <c r="I35" s="15" t="s">
        <v>15</v>
      </c>
      <c r="J35" s="15"/>
      <c r="K35" s="15"/>
      <c r="L35" s="15"/>
      <c r="M35" s="15"/>
      <c r="N35" s="15"/>
    </row>
    <row r="36" ht="57.75" customHeight="1">
      <c r="A36" s="15" t="s">
        <v>69</v>
      </c>
      <c r="B36" s="15" t="s">
        <v>262</v>
      </c>
      <c r="C36" s="15" t="s">
        <v>263</v>
      </c>
      <c r="D36" s="15" t="s">
        <v>264</v>
      </c>
      <c r="E36" s="15" t="s">
        <v>217</v>
      </c>
      <c r="F36" s="15" t="s">
        <v>85</v>
      </c>
      <c r="G36" s="15" t="s">
        <v>265</v>
      </c>
      <c r="H36" s="15" t="s">
        <v>266</v>
      </c>
      <c r="I36" s="15" t="s">
        <v>15</v>
      </c>
      <c r="J36" s="15"/>
      <c r="K36" s="15"/>
      <c r="L36" s="15"/>
      <c r="M36" s="15"/>
      <c r="N36" s="15"/>
    </row>
    <row r="37" ht="42.0" customHeight="1">
      <c r="A37" s="28" t="s">
        <v>73</v>
      </c>
      <c r="B37" s="28" t="s">
        <v>135</v>
      </c>
      <c r="C37" s="28" t="s">
        <v>247</v>
      </c>
      <c r="D37" s="28" t="s">
        <v>267</v>
      </c>
      <c r="E37" s="28" t="s">
        <v>82</v>
      </c>
      <c r="F37" s="28" t="s">
        <v>268</v>
      </c>
      <c r="G37" s="28" t="s">
        <v>269</v>
      </c>
      <c r="H37" s="28" t="s">
        <v>270</v>
      </c>
      <c r="I37" s="28" t="s">
        <v>15</v>
      </c>
      <c r="J37" s="29"/>
      <c r="K37" s="29"/>
      <c r="L37" s="29"/>
      <c r="M37" s="29"/>
      <c r="N37" s="29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47.25" customHeight="1">
      <c r="A38" s="28" t="s">
        <v>75</v>
      </c>
      <c r="B38" s="28" t="s">
        <v>136</v>
      </c>
      <c r="C38" s="28" t="s">
        <v>247</v>
      </c>
      <c r="D38" s="28" t="s">
        <v>271</v>
      </c>
      <c r="E38" s="28" t="s">
        <v>82</v>
      </c>
      <c r="F38" s="28" t="s">
        <v>272</v>
      </c>
      <c r="G38" s="28" t="s">
        <v>273</v>
      </c>
      <c r="H38" s="28" t="s">
        <v>274</v>
      </c>
      <c r="I38" s="28" t="s">
        <v>15</v>
      </c>
      <c r="J38" s="29"/>
      <c r="K38" s="29"/>
      <c r="L38" s="29"/>
      <c r="M38" s="29"/>
      <c r="N38" s="29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36.0" customHeight="1">
      <c r="A39" s="28" t="s">
        <v>77</v>
      </c>
      <c r="B39" s="28" t="s">
        <v>140</v>
      </c>
      <c r="C39" s="28" t="s">
        <v>247</v>
      </c>
      <c r="D39" s="28" t="s">
        <v>275</v>
      </c>
      <c r="E39" s="28" t="s">
        <v>217</v>
      </c>
      <c r="F39" s="28" t="s">
        <v>276</v>
      </c>
      <c r="G39" s="28" t="s">
        <v>277</v>
      </c>
      <c r="H39" s="28" t="s">
        <v>278</v>
      </c>
      <c r="I39" s="28" t="s">
        <v>15</v>
      </c>
      <c r="J39" s="29"/>
      <c r="K39" s="29"/>
      <c r="L39" s="29"/>
      <c r="M39" s="29"/>
      <c r="N39" s="29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40.5" customHeight="1">
      <c r="A40" s="28" t="s">
        <v>80</v>
      </c>
      <c r="B40" s="28" t="s">
        <v>143</v>
      </c>
      <c r="C40" s="28" t="s">
        <v>279</v>
      </c>
      <c r="D40" s="28" t="s">
        <v>280</v>
      </c>
      <c r="E40" s="28" t="s">
        <v>82</v>
      </c>
      <c r="F40" s="28" t="s">
        <v>281</v>
      </c>
      <c r="G40" s="28" t="s">
        <v>282</v>
      </c>
      <c r="H40" s="28" t="s">
        <v>283</v>
      </c>
      <c r="I40" s="28" t="s">
        <v>15</v>
      </c>
      <c r="J40" s="29"/>
      <c r="K40" s="29"/>
      <c r="L40" s="29"/>
      <c r="M40" s="29"/>
      <c r="N40" s="29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45.0" customHeight="1">
      <c r="A41" s="28" t="s">
        <v>84</v>
      </c>
      <c r="B41" s="28" t="s">
        <v>144</v>
      </c>
      <c r="C41" s="28" t="s">
        <v>284</v>
      </c>
      <c r="D41" s="28" t="s">
        <v>285</v>
      </c>
      <c r="E41" s="28" t="s">
        <v>82</v>
      </c>
      <c r="F41" s="28" t="s">
        <v>286</v>
      </c>
      <c r="G41" s="28" t="s">
        <v>287</v>
      </c>
      <c r="H41" s="28" t="s">
        <v>288</v>
      </c>
      <c r="I41" s="28" t="s">
        <v>15</v>
      </c>
      <c r="J41" s="29"/>
      <c r="K41" s="29"/>
      <c r="L41" s="29"/>
      <c r="M41" s="29"/>
      <c r="N41" s="29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47.25" customHeight="1">
      <c r="A42" s="28" t="s">
        <v>86</v>
      </c>
      <c r="B42" s="28" t="s">
        <v>131</v>
      </c>
      <c r="C42" s="28" t="s">
        <v>289</v>
      </c>
      <c r="D42" s="28" t="s">
        <v>290</v>
      </c>
      <c r="E42" s="28" t="s">
        <v>82</v>
      </c>
      <c r="F42" s="28" t="s">
        <v>291</v>
      </c>
      <c r="G42" s="28" t="s">
        <v>292</v>
      </c>
      <c r="H42" s="28" t="s">
        <v>293</v>
      </c>
      <c r="I42" s="28" t="s">
        <v>15</v>
      </c>
      <c r="J42" s="29"/>
      <c r="K42" s="29"/>
      <c r="L42" s="29"/>
      <c r="M42" s="29"/>
      <c r="N42" s="29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46.5" customHeight="1">
      <c r="A43" s="28" t="s">
        <v>89</v>
      </c>
      <c r="B43" s="28" t="s">
        <v>294</v>
      </c>
      <c r="C43" s="28" t="s">
        <v>295</v>
      </c>
      <c r="D43" s="28" t="s">
        <v>296</v>
      </c>
      <c r="E43" s="28" t="s">
        <v>82</v>
      </c>
      <c r="F43" s="28" t="s">
        <v>297</v>
      </c>
      <c r="G43" s="28" t="s">
        <v>298</v>
      </c>
      <c r="H43" s="28" t="s">
        <v>299</v>
      </c>
      <c r="I43" s="28" t="s">
        <v>15</v>
      </c>
      <c r="J43" s="29"/>
      <c r="K43" s="29"/>
      <c r="L43" s="29"/>
      <c r="M43" s="29"/>
      <c r="N43" s="29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I2:I36">
    <cfRule type="expression" dxfId="5" priority="1">
      <formula>I2="Aprobado"</formula>
    </cfRule>
  </conditionalFormatting>
  <conditionalFormatting sqref="I2:I36">
    <cfRule type="expression" dxfId="6" priority="2">
      <formula>I2="Fallido"</formula>
    </cfRule>
  </conditionalFormatting>
  <dataValidations>
    <dataValidation type="list" allowBlank="1" sqref="I2:I43">
      <formula1>"Pendiente,Aprobado,Fallido,Bloqueado"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2" width="23.0"/>
    <col customWidth="1" min="3" max="3" width="42.0"/>
    <col customWidth="1" min="4" max="26" width="9.13"/>
  </cols>
  <sheetData>
    <row r="1" ht="13.5" customHeight="1">
      <c r="A1" s="13" t="s">
        <v>27</v>
      </c>
      <c r="B1" s="13" t="s">
        <v>35</v>
      </c>
      <c r="C1" s="13" t="s">
        <v>39</v>
      </c>
    </row>
    <row r="2" ht="14.25" customHeight="1">
      <c r="B2" s="14" t="s">
        <v>14</v>
      </c>
      <c r="C2" s="14" t="s">
        <v>48</v>
      </c>
    </row>
    <row r="3" ht="14.25" customHeight="1">
      <c r="A3" s="14" t="s">
        <v>50</v>
      </c>
      <c r="B3" s="14" t="s">
        <v>17</v>
      </c>
      <c r="C3" s="14" t="s">
        <v>48</v>
      </c>
    </row>
    <row r="4" ht="14.25" customHeight="1">
      <c r="A4" s="14" t="s">
        <v>55</v>
      </c>
      <c r="B4" s="14" t="s">
        <v>18</v>
      </c>
      <c r="C4" s="14" t="s">
        <v>48</v>
      </c>
    </row>
    <row r="5" ht="14.25" customHeight="1">
      <c r="A5" s="14" t="s">
        <v>60</v>
      </c>
      <c r="B5" s="14" t="s">
        <v>19</v>
      </c>
      <c r="C5" s="14" t="s">
        <v>48</v>
      </c>
    </row>
    <row r="6" ht="14.25" customHeight="1">
      <c r="A6" s="14" t="s">
        <v>65</v>
      </c>
      <c r="B6" s="14" t="s">
        <v>20</v>
      </c>
      <c r="C6" s="14" t="s">
        <v>48</v>
      </c>
    </row>
    <row r="7" ht="14.25" customHeight="1">
      <c r="A7" s="14" t="s">
        <v>70</v>
      </c>
      <c r="B7" s="14" t="s">
        <v>21</v>
      </c>
      <c r="C7" s="16" t="s">
        <v>76</v>
      </c>
    </row>
    <row r="8" ht="14.25" customHeight="1">
      <c r="A8" s="14" t="s">
        <v>81</v>
      </c>
      <c r="B8" s="14" t="s">
        <v>22</v>
      </c>
      <c r="C8" s="16" t="s">
        <v>76</v>
      </c>
    </row>
    <row r="9" ht="14.25" customHeight="1">
      <c r="A9" s="14" t="s">
        <v>90</v>
      </c>
      <c r="B9" s="14" t="s">
        <v>23</v>
      </c>
      <c r="C9" s="14" t="s">
        <v>93</v>
      </c>
    </row>
    <row r="10" ht="14.25" customHeight="1">
      <c r="A10" s="14" t="s">
        <v>94</v>
      </c>
      <c r="B10" s="14" t="s">
        <v>24</v>
      </c>
      <c r="C10" s="16" t="s">
        <v>76</v>
      </c>
    </row>
    <row r="11" ht="14.25" customHeight="1">
      <c r="A11" s="14" t="s">
        <v>97</v>
      </c>
      <c r="B11" s="14" t="s">
        <v>25</v>
      </c>
      <c r="C11" s="16" t="s">
        <v>76</v>
      </c>
    </row>
    <row r="12" ht="14.25" customHeight="1">
      <c r="A12" s="14" t="s">
        <v>100</v>
      </c>
      <c r="B12" s="14" t="s">
        <v>26</v>
      </c>
      <c r="C12" s="16" t="s">
        <v>76</v>
      </c>
    </row>
    <row r="13" ht="14.25" customHeight="1">
      <c r="A13" s="14" t="s">
        <v>103</v>
      </c>
      <c r="B13" s="14" t="s">
        <v>29</v>
      </c>
      <c r="C13" s="16" t="s">
        <v>76</v>
      </c>
    </row>
    <row r="14" ht="14.25" customHeight="1">
      <c r="A14" s="14" t="s">
        <v>105</v>
      </c>
      <c r="B14" s="14" t="s">
        <v>30</v>
      </c>
      <c r="C14" s="16" t="s">
        <v>76</v>
      </c>
    </row>
    <row r="15" ht="14.25" customHeight="1">
      <c r="A15" s="14" t="s">
        <v>106</v>
      </c>
      <c r="B15" s="14" t="s">
        <v>31</v>
      </c>
      <c r="C15" s="14" t="s">
        <v>58</v>
      </c>
    </row>
    <row r="16" ht="14.25" customHeight="1">
      <c r="A16" s="14" t="s">
        <v>107</v>
      </c>
      <c r="B16" s="14" t="s">
        <v>32</v>
      </c>
      <c r="C16" s="14" t="s">
        <v>59</v>
      </c>
    </row>
    <row r="17" ht="14.25" customHeight="1">
      <c r="A17" s="14" t="s">
        <v>110</v>
      </c>
      <c r="B17" s="14" t="s">
        <v>33</v>
      </c>
      <c r="C17" s="14" t="s">
        <v>48</v>
      </c>
    </row>
    <row r="18" ht="14.25" customHeight="1">
      <c r="A18" s="14" t="s">
        <v>113</v>
      </c>
      <c r="B18" s="14" t="s">
        <v>34</v>
      </c>
      <c r="C18" s="14" t="s">
        <v>48</v>
      </c>
    </row>
    <row r="19" ht="14.25" customHeight="1">
      <c r="A19" s="14" t="s">
        <v>114</v>
      </c>
      <c r="B19" s="14" t="s">
        <v>37</v>
      </c>
      <c r="C19" s="14" t="s">
        <v>48</v>
      </c>
    </row>
    <row r="20" ht="14.25" customHeight="1">
      <c r="A20" s="14" t="s">
        <v>115</v>
      </c>
      <c r="B20" s="14" t="s">
        <v>38</v>
      </c>
      <c r="C20" s="14" t="s">
        <v>48</v>
      </c>
    </row>
    <row r="21" ht="14.25" customHeight="1">
      <c r="A21" s="14" t="s">
        <v>117</v>
      </c>
      <c r="B21" s="14" t="s">
        <v>41</v>
      </c>
      <c r="C21" s="14" t="s">
        <v>48</v>
      </c>
    </row>
    <row r="22" ht="14.25" customHeight="1">
      <c r="A22" s="14" t="s">
        <v>120</v>
      </c>
      <c r="B22" s="14" t="s">
        <v>43</v>
      </c>
      <c r="C22" s="14" t="s">
        <v>48</v>
      </c>
    </row>
    <row r="23" ht="14.25" customHeight="1">
      <c r="A23" s="14" t="s">
        <v>121</v>
      </c>
      <c r="B23" s="14" t="s">
        <v>44</v>
      </c>
      <c r="C23" s="14" t="s">
        <v>48</v>
      </c>
    </row>
    <row r="24" ht="14.25" customHeight="1">
      <c r="A24" s="14" t="s">
        <v>125</v>
      </c>
      <c r="B24" s="14" t="s">
        <v>46</v>
      </c>
      <c r="C24" s="14" t="s">
        <v>48</v>
      </c>
    </row>
    <row r="25" ht="14.25" customHeight="1">
      <c r="A25" s="14" t="s">
        <v>127</v>
      </c>
      <c r="B25" s="14" t="s">
        <v>51</v>
      </c>
      <c r="C25" s="14" t="s">
        <v>48</v>
      </c>
    </row>
    <row r="26" ht="14.25" customHeight="1">
      <c r="A26" s="14" t="s">
        <v>128</v>
      </c>
      <c r="B26" s="14" t="s">
        <v>53</v>
      </c>
      <c r="C26" s="14" t="s">
        <v>48</v>
      </c>
    </row>
    <row r="27" ht="14.25" customHeight="1">
      <c r="A27" s="14" t="s">
        <v>131</v>
      </c>
      <c r="B27" s="14" t="s">
        <v>54</v>
      </c>
      <c r="C27" s="16" t="s">
        <v>86</v>
      </c>
    </row>
    <row r="28" ht="14.25" customHeight="1">
      <c r="A28" s="14" t="s">
        <v>135</v>
      </c>
      <c r="B28" s="22" t="s">
        <v>73</v>
      </c>
      <c r="C28" s="22"/>
    </row>
    <row r="29" ht="14.25" customHeight="1">
      <c r="A29" s="14" t="s">
        <v>136</v>
      </c>
      <c r="B29" s="22" t="s">
        <v>75</v>
      </c>
      <c r="C29" s="22"/>
    </row>
    <row r="30" ht="14.25" customHeight="1">
      <c r="A30" s="14" t="s">
        <v>140</v>
      </c>
      <c r="B30" s="22" t="s">
        <v>77</v>
      </c>
      <c r="C30" s="16" t="s">
        <v>64</v>
      </c>
    </row>
    <row r="31" ht="14.25" customHeight="1">
      <c r="A31" s="14" t="s">
        <v>143</v>
      </c>
      <c r="B31" s="22" t="s">
        <v>80</v>
      </c>
      <c r="C31" s="22" t="s">
        <v>89</v>
      </c>
    </row>
    <row r="32" ht="14.25" customHeight="1">
      <c r="A32" s="14" t="s">
        <v>144</v>
      </c>
      <c r="B32" s="22" t="s">
        <v>84</v>
      </c>
      <c r="C32" s="16" t="s">
        <v>89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20.38"/>
    <col customWidth="1" min="3" max="3" width="19.38"/>
    <col customWidth="1" min="4" max="4" width="17.5"/>
    <col customWidth="1" min="5" max="5" width="15.75"/>
    <col customWidth="1" min="6" max="26" width="10.63"/>
  </cols>
  <sheetData>
    <row r="1" ht="14.25" customHeight="1">
      <c r="A1" s="4" t="s">
        <v>1</v>
      </c>
      <c r="B1" s="5" t="s">
        <v>8</v>
      </c>
      <c r="C1" s="4" t="s">
        <v>11</v>
      </c>
      <c r="D1" s="4" t="s">
        <v>12</v>
      </c>
      <c r="E1" s="4" t="s">
        <v>13</v>
      </c>
    </row>
    <row r="2" ht="14.25" customHeight="1">
      <c r="A2" s="6" t="s">
        <v>14</v>
      </c>
      <c r="B2" s="7" t="s">
        <v>15</v>
      </c>
      <c r="C2" s="6" t="s">
        <v>16</v>
      </c>
      <c r="D2" s="6" t="s">
        <v>16</v>
      </c>
      <c r="E2" s="6" t="s">
        <v>16</v>
      </c>
    </row>
    <row r="3" ht="14.25" customHeight="1">
      <c r="A3" s="8" t="s">
        <v>17</v>
      </c>
      <c r="B3" s="9" t="s">
        <v>15</v>
      </c>
      <c r="C3" s="8" t="s">
        <v>16</v>
      </c>
      <c r="D3" s="8" t="s">
        <v>16</v>
      </c>
      <c r="E3" s="8" t="s">
        <v>16</v>
      </c>
    </row>
    <row r="4" ht="14.25" customHeight="1">
      <c r="A4" s="6" t="s">
        <v>18</v>
      </c>
      <c r="B4" s="7" t="s">
        <v>15</v>
      </c>
      <c r="C4" s="6" t="s">
        <v>16</v>
      </c>
      <c r="D4" s="6" t="s">
        <v>16</v>
      </c>
      <c r="E4" s="6" t="s">
        <v>16</v>
      </c>
    </row>
    <row r="5" ht="14.25" customHeight="1">
      <c r="A5" s="8" t="s">
        <v>19</v>
      </c>
      <c r="B5" s="9" t="s">
        <v>15</v>
      </c>
      <c r="C5" s="8" t="s">
        <v>16</v>
      </c>
      <c r="D5" s="8" t="s">
        <v>16</v>
      </c>
      <c r="E5" s="8" t="s">
        <v>16</v>
      </c>
    </row>
    <row r="6" ht="14.25" customHeight="1">
      <c r="A6" s="6" t="s">
        <v>20</v>
      </c>
      <c r="B6" s="7" t="s">
        <v>15</v>
      </c>
      <c r="C6" s="6" t="s">
        <v>16</v>
      </c>
      <c r="D6" s="6" t="s">
        <v>16</v>
      </c>
      <c r="E6" s="6" t="s">
        <v>16</v>
      </c>
    </row>
    <row r="7" ht="14.25" customHeight="1">
      <c r="A7" s="8" t="s">
        <v>21</v>
      </c>
      <c r="B7" s="9" t="s">
        <v>15</v>
      </c>
      <c r="C7" s="8" t="s">
        <v>16</v>
      </c>
      <c r="D7" s="8" t="s">
        <v>16</v>
      </c>
      <c r="E7" s="8" t="s">
        <v>16</v>
      </c>
    </row>
    <row r="8" ht="14.25" customHeight="1">
      <c r="A8" s="6" t="s">
        <v>22</v>
      </c>
      <c r="B8" s="7" t="s">
        <v>15</v>
      </c>
      <c r="C8" s="6" t="s">
        <v>16</v>
      </c>
      <c r="D8" s="6" t="s">
        <v>16</v>
      </c>
      <c r="E8" s="6" t="s">
        <v>16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8" t="s">
        <v>23</v>
      </c>
      <c r="B9" s="9" t="s">
        <v>15</v>
      </c>
      <c r="C9" s="8" t="s">
        <v>16</v>
      </c>
      <c r="D9" s="8" t="s">
        <v>16</v>
      </c>
      <c r="E9" s="8" t="s">
        <v>16</v>
      </c>
    </row>
    <row r="10" ht="14.25" customHeight="1">
      <c r="A10" s="6" t="s">
        <v>24</v>
      </c>
      <c r="B10" s="7" t="s">
        <v>15</v>
      </c>
      <c r="C10" s="6" t="s">
        <v>16</v>
      </c>
      <c r="D10" s="6" t="s">
        <v>16</v>
      </c>
      <c r="E10" s="6" t="s">
        <v>16</v>
      </c>
    </row>
    <row r="11" ht="14.25" customHeight="1">
      <c r="A11" s="8" t="s">
        <v>25</v>
      </c>
      <c r="B11" s="9" t="s">
        <v>15</v>
      </c>
      <c r="C11" s="8" t="s">
        <v>16</v>
      </c>
      <c r="D11" s="8" t="s">
        <v>16</v>
      </c>
      <c r="E11" s="8" t="s">
        <v>16</v>
      </c>
    </row>
    <row r="12" ht="14.25" customHeight="1">
      <c r="A12" s="11" t="s">
        <v>26</v>
      </c>
      <c r="B12" s="7" t="s">
        <v>15</v>
      </c>
      <c r="C12" s="11" t="s">
        <v>16</v>
      </c>
      <c r="D12" s="11" t="s">
        <v>16</v>
      </c>
      <c r="E12" s="11" t="s">
        <v>16</v>
      </c>
    </row>
    <row r="13" ht="14.25" customHeight="1">
      <c r="A13" s="8" t="s">
        <v>29</v>
      </c>
      <c r="B13" s="9" t="s">
        <v>15</v>
      </c>
      <c r="C13" s="8" t="s">
        <v>16</v>
      </c>
      <c r="D13" s="8" t="s">
        <v>16</v>
      </c>
      <c r="E13" s="8" t="s">
        <v>16</v>
      </c>
    </row>
    <row r="14" ht="14.25" customHeight="1">
      <c r="A14" s="6" t="s">
        <v>30</v>
      </c>
      <c r="B14" s="7" t="s">
        <v>15</v>
      </c>
      <c r="C14" s="6" t="s">
        <v>16</v>
      </c>
      <c r="D14" s="6" t="s">
        <v>16</v>
      </c>
      <c r="E14" s="6" t="s">
        <v>16</v>
      </c>
    </row>
    <row r="15" ht="14.25" customHeight="1">
      <c r="A15" s="8" t="s">
        <v>31</v>
      </c>
      <c r="B15" s="9" t="s">
        <v>15</v>
      </c>
      <c r="C15" s="8" t="s">
        <v>16</v>
      </c>
      <c r="D15" s="8" t="s">
        <v>16</v>
      </c>
      <c r="E15" s="8" t="s">
        <v>16</v>
      </c>
    </row>
    <row r="16" ht="14.25" customHeight="1">
      <c r="A16" s="6" t="s">
        <v>32</v>
      </c>
      <c r="B16" s="7" t="s">
        <v>15</v>
      </c>
      <c r="C16" s="6" t="s">
        <v>16</v>
      </c>
      <c r="D16" s="6" t="s">
        <v>16</v>
      </c>
      <c r="E16" s="6" t="s">
        <v>16</v>
      </c>
    </row>
    <row r="17" ht="14.25" customHeight="1">
      <c r="A17" s="8" t="s">
        <v>33</v>
      </c>
      <c r="B17" s="9" t="s">
        <v>15</v>
      </c>
      <c r="C17" s="8" t="s">
        <v>16</v>
      </c>
      <c r="D17" s="8" t="s">
        <v>16</v>
      </c>
      <c r="E17" s="8" t="s">
        <v>16</v>
      </c>
    </row>
    <row r="18" ht="14.25" customHeight="1">
      <c r="A18" s="6" t="s">
        <v>34</v>
      </c>
      <c r="B18" s="7" t="s">
        <v>15</v>
      </c>
      <c r="C18" s="6" t="s">
        <v>16</v>
      </c>
      <c r="D18" s="6" t="s">
        <v>16</v>
      </c>
      <c r="E18" s="6" t="s">
        <v>16</v>
      </c>
    </row>
    <row r="19" ht="14.25" customHeight="1">
      <c r="A19" s="8" t="s">
        <v>37</v>
      </c>
      <c r="B19" s="9" t="s">
        <v>15</v>
      </c>
      <c r="C19" s="8" t="s">
        <v>16</v>
      </c>
      <c r="D19" s="8" t="s">
        <v>16</v>
      </c>
      <c r="E19" s="8" t="s">
        <v>16</v>
      </c>
    </row>
    <row r="20" ht="14.25" customHeight="1">
      <c r="A20" s="6" t="s">
        <v>38</v>
      </c>
      <c r="B20" s="7" t="s">
        <v>15</v>
      </c>
      <c r="C20" s="6" t="s">
        <v>16</v>
      </c>
      <c r="D20" s="6" t="s">
        <v>16</v>
      </c>
      <c r="E20" s="6" t="s">
        <v>16</v>
      </c>
    </row>
    <row r="21" ht="14.25" customHeight="1">
      <c r="A21" s="8" t="s">
        <v>41</v>
      </c>
      <c r="B21" s="9" t="s">
        <v>15</v>
      </c>
      <c r="C21" s="8" t="s">
        <v>16</v>
      </c>
      <c r="D21" s="8" t="s">
        <v>16</v>
      </c>
      <c r="E21" s="8" t="s">
        <v>16</v>
      </c>
    </row>
    <row r="22" ht="14.25" customHeight="1">
      <c r="A22" s="6" t="s">
        <v>43</v>
      </c>
      <c r="B22" s="7" t="s">
        <v>15</v>
      </c>
      <c r="C22" s="6" t="s">
        <v>16</v>
      </c>
      <c r="D22" s="6" t="s">
        <v>16</v>
      </c>
      <c r="E22" s="6" t="s">
        <v>16</v>
      </c>
    </row>
    <row r="23" ht="14.25" customHeight="1">
      <c r="A23" s="8" t="s">
        <v>44</v>
      </c>
      <c r="B23" s="9" t="s">
        <v>15</v>
      </c>
      <c r="C23" s="8" t="s">
        <v>16</v>
      </c>
      <c r="D23" s="8" t="s">
        <v>16</v>
      </c>
      <c r="E23" s="8" t="s">
        <v>16</v>
      </c>
    </row>
    <row r="24" ht="14.25" customHeight="1">
      <c r="A24" s="6" t="s">
        <v>46</v>
      </c>
      <c r="B24" s="7" t="s">
        <v>15</v>
      </c>
      <c r="C24" s="6" t="s">
        <v>16</v>
      </c>
      <c r="D24" s="6" t="s">
        <v>16</v>
      </c>
      <c r="E24" s="6" t="s">
        <v>16</v>
      </c>
    </row>
    <row r="25" ht="14.25" customHeight="1">
      <c r="A25" s="8" t="s">
        <v>51</v>
      </c>
      <c r="B25" s="9" t="s">
        <v>15</v>
      </c>
      <c r="C25" s="8" t="s">
        <v>16</v>
      </c>
      <c r="D25" s="8" t="s">
        <v>16</v>
      </c>
      <c r="E25" s="8" t="s">
        <v>16</v>
      </c>
    </row>
    <row r="26" ht="14.25" customHeight="1">
      <c r="A26" s="6" t="s">
        <v>53</v>
      </c>
      <c r="B26" s="7" t="s">
        <v>15</v>
      </c>
      <c r="C26" s="6" t="s">
        <v>16</v>
      </c>
      <c r="D26" s="6" t="s">
        <v>16</v>
      </c>
      <c r="E26" s="6" t="s">
        <v>16</v>
      </c>
    </row>
    <row r="27" ht="14.25" customHeight="1">
      <c r="A27" s="8" t="s">
        <v>54</v>
      </c>
      <c r="B27" s="9" t="s">
        <v>15</v>
      </c>
      <c r="C27" s="8" t="s">
        <v>16</v>
      </c>
      <c r="D27" s="8" t="s">
        <v>16</v>
      </c>
      <c r="E27" s="8" t="s">
        <v>16</v>
      </c>
    </row>
    <row r="28" ht="14.25" customHeight="1">
      <c r="A28" s="6" t="s">
        <v>56</v>
      </c>
      <c r="B28" s="7" t="s">
        <v>15</v>
      </c>
      <c r="C28" s="6" t="s">
        <v>16</v>
      </c>
      <c r="D28" s="6" t="s">
        <v>16</v>
      </c>
      <c r="E28" s="6" t="s">
        <v>16</v>
      </c>
    </row>
    <row r="29" ht="14.25" customHeight="1">
      <c r="A29" s="8" t="s">
        <v>58</v>
      </c>
      <c r="B29" s="9" t="s">
        <v>15</v>
      </c>
      <c r="C29" s="8" t="s">
        <v>16</v>
      </c>
      <c r="D29" s="8" t="s">
        <v>16</v>
      </c>
      <c r="E29" s="8" t="s">
        <v>16</v>
      </c>
    </row>
    <row r="30" ht="14.25" customHeight="1">
      <c r="A30" s="11" t="s">
        <v>59</v>
      </c>
      <c r="B30" s="7" t="s">
        <v>15</v>
      </c>
      <c r="C30" s="11" t="s">
        <v>16</v>
      </c>
      <c r="D30" s="11" t="s">
        <v>16</v>
      </c>
      <c r="E30" s="11" t="s">
        <v>16</v>
      </c>
    </row>
    <row r="31" ht="14.25" customHeight="1">
      <c r="A31" s="8" t="s">
        <v>61</v>
      </c>
      <c r="B31" s="9" t="s">
        <v>15</v>
      </c>
      <c r="C31" s="8" t="s">
        <v>16</v>
      </c>
      <c r="D31" s="8" t="s">
        <v>16</v>
      </c>
      <c r="E31" s="8" t="s">
        <v>16</v>
      </c>
    </row>
    <row r="32" ht="14.25" customHeight="1">
      <c r="A32" s="6" t="s">
        <v>63</v>
      </c>
      <c r="B32" s="7" t="s">
        <v>15</v>
      </c>
      <c r="C32" s="6" t="s">
        <v>16</v>
      </c>
      <c r="D32" s="6" t="s">
        <v>16</v>
      </c>
      <c r="E32" s="6" t="s">
        <v>16</v>
      </c>
    </row>
    <row r="33" ht="14.25" customHeight="1">
      <c r="A33" s="8" t="s">
        <v>64</v>
      </c>
      <c r="B33" s="9" t="s">
        <v>15</v>
      </c>
      <c r="C33" s="8" t="s">
        <v>16</v>
      </c>
      <c r="D33" s="8" t="s">
        <v>16</v>
      </c>
      <c r="E33" s="8" t="s">
        <v>16</v>
      </c>
    </row>
    <row r="34" ht="14.25" customHeight="1">
      <c r="A34" s="6" t="s">
        <v>67</v>
      </c>
      <c r="B34" s="7" t="s">
        <v>15</v>
      </c>
      <c r="C34" s="6" t="s">
        <v>16</v>
      </c>
      <c r="D34" s="6" t="s">
        <v>16</v>
      </c>
      <c r="E34" s="6" t="s">
        <v>16</v>
      </c>
    </row>
    <row r="35" ht="14.25" customHeight="1">
      <c r="A35" s="8" t="s">
        <v>68</v>
      </c>
      <c r="B35" s="9" t="s">
        <v>15</v>
      </c>
      <c r="C35" s="8" t="s">
        <v>16</v>
      </c>
      <c r="D35" s="8" t="s">
        <v>16</v>
      </c>
      <c r="E35" s="8" t="s">
        <v>16</v>
      </c>
    </row>
    <row r="36" ht="24.0" customHeight="1">
      <c r="A36" s="6" t="s">
        <v>69</v>
      </c>
      <c r="B36" s="7" t="s">
        <v>15</v>
      </c>
      <c r="C36" s="6" t="s">
        <v>16</v>
      </c>
      <c r="D36" s="6" t="s">
        <v>16</v>
      </c>
      <c r="E36" s="6" t="s">
        <v>16</v>
      </c>
    </row>
    <row r="37" ht="14.25" customHeight="1">
      <c r="A37" s="6" t="s">
        <v>73</v>
      </c>
      <c r="B37" s="7" t="s">
        <v>15</v>
      </c>
      <c r="C37" s="6" t="s">
        <v>16</v>
      </c>
      <c r="D37" s="6" t="s">
        <v>16</v>
      </c>
      <c r="E37" s="6" t="s">
        <v>16</v>
      </c>
    </row>
    <row r="38" ht="14.25" customHeight="1">
      <c r="A38" s="6" t="s">
        <v>75</v>
      </c>
      <c r="B38" s="7" t="s">
        <v>15</v>
      </c>
      <c r="C38" s="6" t="s">
        <v>16</v>
      </c>
      <c r="D38" s="6" t="s">
        <v>16</v>
      </c>
      <c r="E38" s="6" t="s">
        <v>16</v>
      </c>
    </row>
    <row r="39" ht="14.25" customHeight="1">
      <c r="A39" s="6" t="s">
        <v>77</v>
      </c>
      <c r="B39" s="7" t="s">
        <v>15</v>
      </c>
      <c r="C39" s="6" t="s">
        <v>16</v>
      </c>
      <c r="D39" s="6" t="s">
        <v>16</v>
      </c>
      <c r="E39" s="6" t="s">
        <v>16</v>
      </c>
    </row>
    <row r="40" ht="14.25" customHeight="1">
      <c r="A40" s="6" t="s">
        <v>80</v>
      </c>
      <c r="B40" s="7" t="s">
        <v>15</v>
      </c>
      <c r="C40" s="6" t="s">
        <v>16</v>
      </c>
      <c r="D40" s="6" t="s">
        <v>16</v>
      </c>
      <c r="E40" s="6" t="s">
        <v>16</v>
      </c>
    </row>
    <row r="41" ht="14.25" customHeight="1">
      <c r="A41" s="6" t="s">
        <v>84</v>
      </c>
      <c r="B41" s="7" t="s">
        <v>15</v>
      </c>
      <c r="C41" s="6" t="s">
        <v>16</v>
      </c>
      <c r="D41" s="6" t="s">
        <v>16</v>
      </c>
      <c r="E41" s="6" t="s">
        <v>16</v>
      </c>
    </row>
    <row r="42" ht="14.25" customHeight="1">
      <c r="A42" s="6" t="s">
        <v>86</v>
      </c>
      <c r="B42" s="7" t="s">
        <v>15</v>
      </c>
      <c r="C42" s="6" t="s">
        <v>16</v>
      </c>
      <c r="D42" s="6" t="s">
        <v>16</v>
      </c>
      <c r="E42" s="6" t="s">
        <v>16</v>
      </c>
    </row>
    <row r="43" ht="14.25" customHeight="1">
      <c r="A43" s="6" t="s">
        <v>89</v>
      </c>
      <c r="B43" s="7" t="s">
        <v>15</v>
      </c>
      <c r="C43" s="6" t="s">
        <v>16</v>
      </c>
      <c r="D43" s="6" t="s">
        <v>16</v>
      </c>
      <c r="E43" s="6" t="s">
        <v>16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2:B43">
    <cfRule type="expression" dxfId="5" priority="1">
      <formula>B2="Aprobado"</formula>
    </cfRule>
  </conditionalFormatting>
  <conditionalFormatting sqref="B2:B43">
    <cfRule type="expression" dxfId="6" priority="2">
      <formula>B2="Fallido"</formula>
    </cfRule>
  </conditionalFormatting>
  <dataValidations>
    <dataValidation type="list" allowBlank="1" sqref="B2:B43">
      <formula1>"Pendiente,Aprobado,Fallido,Bloqueado"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16.75"/>
    <col customWidth="1" min="3" max="3" width="18.88"/>
    <col customWidth="1" min="4" max="4" width="13.38"/>
    <col customWidth="1" min="5" max="5" width="13.75"/>
    <col customWidth="1" min="6" max="6" width="18.5"/>
    <col customWidth="1" min="7" max="7" width="18.0"/>
    <col customWidth="1" min="8" max="8" width="16.5"/>
    <col customWidth="1" min="9" max="9" width="15.38"/>
    <col customWidth="1" min="10" max="10" width="24.0"/>
    <col customWidth="1" min="11" max="11" width="23.0"/>
    <col customWidth="1" min="12" max="26" width="10.63"/>
  </cols>
  <sheetData>
    <row r="1" ht="14.25" customHeight="1">
      <c r="A1" s="12" t="s">
        <v>71</v>
      </c>
      <c r="B1" s="12" t="s">
        <v>78</v>
      </c>
      <c r="C1" s="12" t="s">
        <v>83</v>
      </c>
      <c r="D1" s="12" t="s">
        <v>87</v>
      </c>
      <c r="E1" s="12" t="s">
        <v>62</v>
      </c>
      <c r="F1" s="12" t="s">
        <v>92</v>
      </c>
      <c r="G1" s="12" t="s">
        <v>95</v>
      </c>
      <c r="H1" s="12" t="s">
        <v>96</v>
      </c>
      <c r="I1" s="12" t="s">
        <v>98</v>
      </c>
      <c r="J1" s="12" t="s">
        <v>13</v>
      </c>
      <c r="K1" s="12" t="s">
        <v>66</v>
      </c>
    </row>
    <row r="2" ht="14.25" customHeight="1">
      <c r="A2" s="17"/>
      <c r="B2" s="17"/>
      <c r="C2" s="18"/>
      <c r="D2" s="17"/>
      <c r="E2" s="17"/>
      <c r="F2" s="17"/>
      <c r="G2" s="18"/>
      <c r="H2" s="17"/>
      <c r="I2" s="17"/>
      <c r="J2" s="17"/>
      <c r="K2" s="17"/>
    </row>
    <row r="3" ht="14.25" customHeight="1">
      <c r="A3" s="19"/>
      <c r="B3" s="19"/>
      <c r="C3" s="20"/>
      <c r="D3" s="19"/>
      <c r="E3" s="19"/>
      <c r="F3" s="19"/>
      <c r="G3" s="20"/>
      <c r="H3" s="19"/>
      <c r="I3" s="21"/>
      <c r="J3" s="19"/>
      <c r="K3" s="19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I2">
    <cfRule type="expression" dxfId="5" priority="1">
      <formula>I2="Corregido"</formula>
    </cfRule>
  </conditionalFormatting>
  <conditionalFormatting sqref="I2">
    <cfRule type="expression" dxfId="6" priority="2">
      <formula>I2="No corregido"</formula>
    </cfRule>
  </conditionalFormatting>
  <dataValidations>
    <dataValidation type="list" allowBlank="1" sqref="I2:I3">
      <formula1>"Pendiente,Corregido,No corregido"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20.0"/>
    <col customWidth="1" min="3" max="26" width="9.13"/>
  </cols>
  <sheetData>
    <row r="1" ht="16.5" customHeight="1">
      <c r="A1" s="23" t="s">
        <v>164</v>
      </c>
      <c r="B1" s="24"/>
      <c r="C1" s="24"/>
      <c r="D1" s="25"/>
    </row>
    <row r="2" ht="14.25" customHeight="1"/>
    <row r="3" ht="14.25" customHeight="1">
      <c r="A3" s="26" t="s">
        <v>166</v>
      </c>
      <c r="B3" s="26" t="s">
        <v>167</v>
      </c>
    </row>
    <row r="4" ht="14.25" customHeight="1">
      <c r="A4" s="27" t="s">
        <v>168</v>
      </c>
      <c r="B4" s="27">
        <f>COUNTA('Casos de prueba'!A2:A100)</f>
        <v>42</v>
      </c>
    </row>
    <row r="5" ht="14.25" customHeight="1">
      <c r="A5" s="27" t="s">
        <v>173</v>
      </c>
      <c r="B5" s="27">
        <v>26.0</v>
      </c>
    </row>
    <row r="6" ht="14.25" customHeight="1">
      <c r="A6" s="27" t="s">
        <v>174</v>
      </c>
      <c r="B6" s="27">
        <f>COUNTIF('Casos de prueba'!I2:I100,"Aprobado")</f>
        <v>0</v>
      </c>
    </row>
    <row r="7" ht="14.25" customHeight="1">
      <c r="A7" s="27" t="s">
        <v>175</v>
      </c>
      <c r="B7" s="27">
        <f>COUNTIF('Casos de prueba'!I2:I100,"Fallido")</f>
        <v>0</v>
      </c>
    </row>
    <row r="8" ht="14.25" customHeight="1">
      <c r="A8" s="27" t="s">
        <v>177</v>
      </c>
      <c r="B8" s="27">
        <f>COUNTIF('Casos de prueba'!I2:I100,"Bloqueado")</f>
        <v>0</v>
      </c>
    </row>
    <row r="9" ht="14.25" customHeight="1">
      <c r="A9" s="27" t="s">
        <v>179</v>
      </c>
      <c r="B9" s="27">
        <f>COUNTIF('Casos de prueba'!I2:I100,"Pendiente")</f>
        <v>42</v>
      </c>
    </row>
    <row r="10" ht="14.25" customHeight="1"/>
    <row r="11" ht="14.25" customHeight="1"/>
    <row r="12" ht="17.25" customHeight="1">
      <c r="A12" s="2" t="s">
        <v>180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12:D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2026-10-20T20:02:34Z</dcterms:created>
  <dc:creator>Adriana Avila Peña</dc:creator>
</cp:coreProperties>
</file>